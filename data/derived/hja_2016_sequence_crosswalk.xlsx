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82baac959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3a8d057ff74443"/>
    <x:sheet xmlns:r="http://schemas.openxmlformats.org/officeDocument/2006/relationships" name="Sample Map" sheetId="2" r:id="R2560463ed43d4ea2"/>
    <x:sheet xmlns:r="http://schemas.openxmlformats.org/officeDocument/2006/relationships" name="Site Completeness" sheetId="3" r:id="Rf654dad2ae474253"/>
    <x:sheet xmlns:r="http://schemas.openxmlformats.org/officeDocument/2006/relationships" name="Issues" sheetId="4" r:id="R1fe6387718ff474c"/>
    <x:sheet xmlns:r="http://schemas.openxmlformats.org/officeDocument/2006/relationships" name="Sources" sheetId="5" r:id="R28272aa4a080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1"/>
      <x:color rgb="FF17365D"/>
      <x:name val="Aptos"/>
    </x:font>
    <x:font>
      <x:sz val="11"/>
      <x:color rgb="FF263238"/>
      <x:name val="Aptos"/>
    </x:font>
    <x:font>
      <x:sz val="11"/>
      <x:color rgb="FF1F4E2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</x:fills>
  <x:borders count="22">
    <x:border/>
    <x:border>
      <x:bottom style="medium">
        <x:color rgb="FF17365D"/>
      </x:bottom>
    </x:border>
    <x:border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top style="hair">
        <x:color rgb="FFD9E2F3"/>
      </x:top>
    </x:border>
    <x:border>
      <x:bottom style="medium">
        <x:color rgb="FF7F8FA6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200" fontId="3" fillId="0" borderId="2" xfId="0" applyNumberFormat="1" applyFont="1" applyFill="1" applyBorder="1" applyAlignment="1">
      <x:alignment vertical="top"/>
    </x:xf>
    <x:xf numFmtId="200" fontId="3" fillId="0" borderId="3" xfId="0" applyNumberFormat="1" applyFont="1" applyFill="1" applyBorder="1" applyAlignment="1">
      <x:alignment vertical="top"/>
    </x:xf>
    <x:xf numFmtId="200" fontId="3" fillId="0" borderId="4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6" fillId="6" borderId="2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61905c8c240ee" /><Relationship Type="http://schemas.openxmlformats.org/officeDocument/2006/relationships/theme" Target="/xl/theme/theme1.xml" Id="R4f944c11a00e4fb8" /><Relationship Type="http://schemas.openxmlformats.org/officeDocument/2006/relationships/sharedStrings" Target="/xl/sharedStrings.xml" Id="Rd9271fd786c74953" /><Relationship Type="http://schemas.openxmlformats.org/officeDocument/2006/relationships/worksheet" Target="/xl/worksheets/sheet1.xml" Id="R233a8d057ff74443" /><Relationship Type="http://schemas.openxmlformats.org/officeDocument/2006/relationships/worksheet" Target="/xl/worksheets/sheet2.xml" Id="R2560463ed43d4ea2" /><Relationship Type="http://schemas.openxmlformats.org/officeDocument/2006/relationships/worksheet" Target="/xl/worksheets/sheet3.xml" Id="Rf654dad2ae474253" /><Relationship Type="http://schemas.openxmlformats.org/officeDocument/2006/relationships/worksheet" Target="/xl/worksheets/sheet4.xml" Id="R1fe6387718ff474c" /><Relationship Type="http://schemas.openxmlformats.org/officeDocument/2006/relationships/worksheet" Target="/xl/worksheets/sheet5.xml" Id="R28272aa4a08042e1" /></Relationships>
</file>

<file path=xl/tables/table1.xml><?xml version="1.0" encoding="utf-8"?>
<x:table xmlns:x="http://schemas.openxmlformats.org/spreadsheetml/2006/main" id="1" name="SampleMapTable" displayName="SampleMapTable" ref="A1:V121" headerRowCount="1" totalsRowCount="0" totalsRowShown="0">
  <x:tableColumns count="22">
    <x:tableColumn id="1" name="sample_id"/>
    <x:tableColumn id="2" name="sample_year"/>
    <x:tableColumn id="3" name="run_id"/>
    <x:tableColumn id="4" name="plate"/>
    <x:tableColumn id="5" name="lane_sample"/>
    <x:tableColumn id="6" name="site_code_raw"/>
    <x:tableColumn id="7" name="site_code"/>
    <x:tableColumn id="8" name="sample_type_original"/>
    <x:tableColumn id="9" name="sample_type"/>
    <x:tableColumn id="10" name="forward_filename"/>
    <x:tableColumn id="11" name="reverse_filename"/>
    <x:tableColumn id="12" name="forward_path"/>
    <x:tableColumn id="13" name="reverse_path"/>
    <x:tableColumn id="14" name="include"/>
    <x:tableColumn id="15" name="is_control"/>
    <x:tableColumn id="16" name="control_type"/>
    <x:tableColumn id="17" name="metadata_source"/>
    <x:tableColumn id="18" name="metadata_row"/>
    <x:tableColumn id="19" name="mapping_status"/>
    <x:tableColumn id="20" name="normalization_note"/>
    <x:tableColumn id="21" name="biosample_accession"/>
    <x:tableColumn id="22" name="sra_run_acces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CompletenessTable" displayName="SiteCompletenessTable" ref="A1:G60" headerRowCount="1" totalsRowCount="0" totalsRowShown="0">
  <x:tableColumns count="7">
    <x:tableColumn id="1" name="site_code"/>
    <x:tableColumn id="2" name="planktonic_streamwater"/>
    <x:tableColumn id="3" name="hyporheic_water"/>
    <x:tableColumn id="4" name="stream_sediment"/>
    <x:tableColumn id="5" name="sample_type_count"/>
    <x:tableColumn id="6" name="complete_triplet"/>
    <x:tableColumn id="7" name="missing_sample_typ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ssuesTable" displayName="IssuesTable" ref="A1:E55" headerRowCount="1" totalsRowCount="0" totalsRowShown="0">
  <x:tableColumns count="5">
    <x:tableColumn id="1" name="issue_type"/>
    <x:tableColumn id="2" name="sample_id"/>
    <x:tableColumn id="3" name="site_code"/>
    <x:tableColumn id="4" name="detail"/>
    <x:tableColumn id="5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dd483f0698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d58869b89c49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9e2928b87d4d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3" t="str">
        <x:v>HJA 2016 sequence-to-sample reconciliation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>
      <x:c r="A4" s="8" t="str">
        <x:v>Metric</x:v>
      </x:c>
      <x:c r="B4" s="8" t="str">
        <x:v>Value</x:v>
      </x:c>
    </x:row>
    <x:row r="5">
      <x:c r="A5" s="13" t="str">
        <x:v>Paired libraries</x:v>
      </x:c>
      <x:c r="B5" s="16" t="n">
        <x:f>COUNTA('Sample Map'!$A$2:$A$121)</x:f>
        <x:v>120</x:v>
      </x:c>
    </x:row>
    <x:row r="6">
      <x:c r="A6" s="14" t="str">
        <x:v>Mapped without normalization</x:v>
      </x:c>
      <x:c r="B6" s="17" t="n">
        <x:f>COUNTIF('Sample Map'!$S$2:$S$121,"MATCHED")</x:f>
        <x:v>118</x:v>
      </x:c>
    </x:row>
    <x:row r="7">
      <x:c r="A7" s="14" t="str">
        <x:v>Mapped after site-code normalization</x:v>
      </x:c>
      <x:c r="B7" s="17" t="n">
        <x:f>COUNTIF('Sample Map'!$S$2:$S$121,"MATCHED_NORMALIZED_SITE_CODE")</x:f>
        <x:v>1</x:v>
      </x:c>
    </x:row>
    <x:row r="8">
      <x:c r="A8" s="14" t="str">
        <x:v>Unresolved libraries</x:v>
      </x:c>
      <x:c r="B8" s="17" t="n">
        <x:f>COUNTIF('Sample Map'!$S$2:$S$121,"REVIEW_UNRESOLVED_SITE")</x:f>
        <x:v>1</x:v>
      </x:c>
    </x:row>
    <x:row r="9">
      <x:c r="A9" s="14" t="str">
        <x:v>Planktonic streamwater libraries</x:v>
      </x:c>
      <x:c r="B9" s="17" t="n">
        <x:f>COUNTIF('Sample Map'!$I$2:$I$121,"planktonic streamwater")</x:f>
        <x:v>24</x:v>
      </x:c>
    </x:row>
    <x:row r="10">
      <x:c r="A10" s="14" t="str">
        <x:v>Hyporheic-water libraries</x:v>
      </x:c>
      <x:c r="B10" s="17" t="n">
        <x:f>COUNTIF('Sample Map'!$I$2:$I$121,"hyporheic water")</x:f>
        <x:v>36</x:v>
      </x:c>
    </x:row>
    <x:row r="11">
      <x:c r="A11" s="14" t="str">
        <x:v>Stream-sediment libraries</x:v>
      </x:c>
      <x:c r="B11" s="17" t="n">
        <x:f>COUNTIF('Sample Map'!$I$2:$I$121,"stream sediment")</x:f>
        <x:v>45</x:v>
      </x:c>
    </x:row>
    <x:row r="12">
      <x:c r="A12" s="14" t="str">
        <x:v>Terrestrial-soil libraries</x:v>
      </x:c>
      <x:c r="B12" s="17" t="n">
        <x:f>COUNTIF('Sample Map'!$I$2:$I$121,"terrestrial soil")</x:f>
        <x:v>15</x:v>
      </x:c>
    </x:row>
    <x:row r="13">
      <x:c r="A13" s="14" t="str">
        <x:v>Aquatic sites represented</x:v>
      </x:c>
      <x:c r="B13" s="17" t="n">
        <x:f>COUNTA('Site Completeness'!$A$2:$A$60)</x:f>
        <x:v>59</x:v>
      </x:c>
    </x:row>
    <x:row r="14">
      <x:c r="A14" s="14" t="str">
        <x:v>Complete aquatic triplets</x:v>
      </x:c>
      <x:c r="B14" s="17" t="n">
        <x:f>COUNTIF('Site Completeness'!$F$2:$F$60,TRUE)</x:f>
        <x:v>10</x:v>
      </x:c>
    </x:row>
    <x:row r="15">
      <x:c r="A15" s="14" t="str">
        <x:v>Incomplete aquatic sites</x:v>
      </x:c>
      <x:c r="B15" s="17" t="n">
        <x:f>COUNTIF('Site Completeness'!$F$2:$F$60,FALSE)</x:f>
        <x:v>49</x:v>
      </x:c>
    </x:row>
    <x:row r="16">
      <x:c r="A16" s="15" t="str">
        <x:v>Soil metadata rows without sequences</x:v>
      </x:c>
      <x:c r="B16" s="18" t="n">
        <x:f>COUNTIF('Issues'!$A$2:$A$55,"SOIL_METADATA_WITHOUT_SEQUENCE")</x:f>
        <x:v>3</x:v>
      </x:c>
    </x:row>
    <x:row r="18">
      <x:c r="A18" s="21" t="str">
        <x:v>Interpretation</x:v>
      </x:c>
      <x:c r="B18" s="21"/>
      <x:c r="C18" s="21"/>
      <x:c r="D18" s="21"/>
      <x:c r="E18" s="21"/>
      <x:c r="F18" s="21"/>
    </x:row>
    <x:row r="19">
      <x:c r="A19" s="41" t="str">
        <x:v>The aquatic design is unbalanced: only 10 of 59 represented sites contain planktonic, hyporheic, and sediment libraries. WS1_S8 is normalized to WS1-8. Library hja2016_200 is included for ASV inference but lacks a resolved soil site and therefore has no attached site-level environmental metadata.</x:v>
      </x:c>
      <x:c r="B19" s="42"/>
      <x:c r="C19" s="42"/>
      <x:c r="D19" s="42"/>
      <x:c r="E19" s="42"/>
      <x:c r="F19" s="43"/>
    </x:row>
    <x:row r="20">
      <x:c r="A20" s="44"/>
      <x:c r="B20" s="45"/>
      <x:c r="C20" s="45"/>
      <x:c r="D20" s="45"/>
      <x:c r="E20" s="45"/>
      <x:c r="F20" s="46"/>
    </x:row>
    <x:row r="21">
      <x:c r="A21" s="44"/>
      <x:c r="B21" s="45"/>
      <x:c r="C21" s="45"/>
      <x:c r="D21" s="45"/>
      <x:c r="E21" s="45"/>
      <x:c r="F21" s="46"/>
    </x:row>
    <x:row r="22">
      <x:c r="A22" s="47"/>
      <x:c r="B22" s="48"/>
      <x:c r="C22" s="48"/>
      <x:c r="D22" s="48"/>
      <x:c r="E22" s="48"/>
      <x:c r="F22" s="49"/>
    </x:row>
    <x:row r="24">
      <x:c r="A24" s="21" t="str">
        <x:v>Joint DADA2 design</x:v>
      </x:c>
      <x:c r="B24" s="21"/>
      <x:c r="C24" s="21"/>
      <x:c r="D24" s="21"/>
      <x:c r="E24" s="21"/>
      <x:c r="F24" s="21"/>
    </x:row>
    <x:row r="25">
      <x:c r="A25" s="69" t="str">
        <x:v>Process each physical sequencing run with its own learned forward/reverse error models, then merge exact sequence tables before consensus chimera removal and taxonomy assignment. Match years by the exact V4 nucleotide sequence, not by an ordinal ASV label.</x:v>
      </x:c>
      <x:c r="B25" s="70"/>
      <x:c r="C25" s="70"/>
      <x:c r="D25" s="70"/>
      <x:c r="E25" s="70"/>
      <x:c r="F25" s="71"/>
    </x:row>
    <x:row r="26">
      <x:c r="A26" s="72"/>
      <x:c r="B26" s="73"/>
      <x:c r="C26" s="73"/>
      <x:c r="D26" s="73"/>
      <x:c r="E26" s="73"/>
      <x:c r="F26" s="74"/>
    </x:row>
    <x:row r="27">
      <x:c r="A27" s="72"/>
      <x:c r="B27" s="73"/>
      <x:c r="C27" s="73"/>
      <x:c r="D27" s="73"/>
      <x:c r="E27" s="73"/>
      <x:c r="F27" s="74"/>
    </x:row>
    <x:row r="28">
      <x:c r="A28" s="75"/>
      <x:c r="B28" s="76"/>
      <x:c r="C28" s="76"/>
      <x:c r="D28" s="76"/>
      <x:c r="E28" s="76"/>
      <x:c r="F28" s="77"/>
    </x:row>
  </x:sheetData>
  <x:mergeCells>
    <x:mergeCell ref="A1:F2"/>
    <x:mergeCell ref="A18:F18"/>
    <x:mergeCell ref="A19:F22"/>
    <x:mergeCell ref="A24:F24"/>
    <x:mergeCell ref="A25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58" hidden="0" customWidth="1"/>
    <x:col min="11" max="11" width="58" hidden="0" customWidth="1"/>
    <x:col min="12" max="12" width="58" hidden="0" customWidth="1"/>
    <x:col min="13" max="13" width="5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0" hidden="0" customWidth="1"/>
    <x:col min="20" max="20" width="68" hidden="0" customWidth="1"/>
    <x:col min="21" max="21" width="18" hidden="0" customWidth="1"/>
    <x:col min="22" max="22" width="18" hidden="0" customWidth="1"/>
  </x:cols>
  <x:sheetData>
    <x:row r="1" ht="34" customHeight="1">
      <x:c r="A1" s="8" t="str">
        <x:v>sample_id</x:v>
      </x:c>
      <x:c r="B1" s="8" t="str">
        <x:v>sample_year</x:v>
      </x:c>
      <x:c r="C1" s="8" t="str">
        <x:v>run_id</x:v>
      </x:c>
      <x:c r="D1" s="8" t="str">
        <x:v>plate</x:v>
      </x:c>
      <x:c r="E1" s="8" t="str">
        <x:v>lane_sample</x:v>
      </x:c>
      <x:c r="F1" s="8" t="str">
        <x:v>site_code_raw</x:v>
      </x:c>
      <x:c r="G1" s="8" t="str">
        <x:v>site_code</x:v>
      </x:c>
      <x:c r="H1" s="8" t="str">
        <x:v>sample_type_original</x:v>
      </x:c>
      <x:c r="I1" s="8" t="str">
        <x:v>sample_type</x:v>
      </x:c>
      <x:c r="J1" s="8" t="str">
        <x:v>forward_filename</x:v>
      </x:c>
      <x:c r="K1" s="8" t="str">
        <x:v>reverse_filename</x:v>
      </x:c>
      <x:c r="L1" s="8" t="str">
        <x:v>forward_path</x:v>
      </x:c>
      <x:c r="M1" s="8" t="str">
        <x:v>reverse_path</x:v>
      </x:c>
      <x:c r="N1" s="8" t="str">
        <x:v>include</x:v>
      </x:c>
      <x:c r="O1" s="8" t="str">
        <x:v>is_control</x:v>
      </x:c>
      <x:c r="P1" s="8" t="str">
        <x:v>control_type</x:v>
      </x:c>
      <x:c r="Q1" s="8" t="str">
        <x:v>metadata_source</x:v>
      </x:c>
      <x:c r="R1" s="8" t="str">
        <x:v>metadata_row</x:v>
      </x:c>
      <x:c r="S1" s="8" t="str">
        <x:v>mapping_status</x:v>
      </x:c>
      <x:c r="T1" s="8" t="str">
        <x:v>normalization_note</x:v>
      </x:c>
      <x:c r="U1" s="8" t="str">
        <x:v>biosample_accession</x:v>
      </x:c>
      <x:c r="V1" s="8" t="str">
        <x:v>sra_run_accession</x:v>
      </x:c>
    </x:row>
    <x:row r="2" ht="20" customHeight="1">
      <x:c r="A2" s="13" t="str">
        <x:v>hja2016_001</x:v>
      </x:c>
      <x:c r="B2" s="13" t="str">
        <x:v>2016</x:v>
      </x:c>
      <x:c r="C2" s="13" t="str">
        <x:v>HJA2016_Plate1</x:v>
      </x:c>
      <x:c r="D2" s="13" t="str">
        <x:v>Plate1</x:v>
      </x:c>
      <x:c r="E2" s="13" t="str">
        <x:v>S1</x:v>
      </x:c>
      <x:c r="F2" s="13" t="str">
        <x:v>50</x:v>
      </x:c>
      <x:c r="G2" s="13" t="str">
        <x:v>50</x:v>
      </x:c>
      <x:c r="H2" s="13" t="str">
        <x:v>Stream</x:v>
      </x:c>
      <x:c r="I2" s="13" t="str">
        <x:v>planktonic streamwater</x:v>
      </x:c>
      <x:c r="J2" s="13" t="str">
        <x:v>GSF2238-Lennon-Plate1-hja2016_001_S1_L001_R1_001.fastq.gz</x:v>
      </x:c>
      <x:c r="K2" s="13" t="str">
        <x:v>GSF2238-Lennon-Plate1-hja2016_001_S1_L001_R2_001.fastq.gz</x:v>
      </x:c>
      <x:c r="L2" s="13" t="str">
        <x:v>sequences/GSF2238-Lennon-Plate1-hja2016_001_S1_L001_R1_001.fastq.gz</x:v>
      </x:c>
      <x:c r="M2" s="13" t="str">
        <x:v>sequences/GSF2238-Lennon-Plate1-hja2016_001_S1_L001_R2_001.fastq.gz</x:v>
      </x:c>
      <x:c r="N2" s="13" t="str">
        <x:v>TRUE</x:v>
      </x:c>
      <x:c r="O2" s="13" t="str">
        <x:v>FALSE</x:v>
      </x:c>
      <x:c r="P2" s="13" t="str"/>
      <x:c r="Q2" s="13" t="str">
        <x:v>data/hja-env_data_clean.csv</x:v>
      </x:c>
      <x:c r="R2" s="13" t="str">
        <x:v>6</x:v>
      </x:c>
      <x:c r="S2" s="13" t="str">
        <x:v>MATCHED</x:v>
      </x:c>
      <x:c r="T2" s="13" t="str"/>
      <x:c r="U2" s="13" t="str"/>
      <x:c r="V2" s="13" t="str"/>
    </x:row>
    <x:row r="3" ht="20" customHeight="1">
      <x:c r="A3" s="14" t="str">
        <x:v>hja2016_002</x:v>
      </x:c>
      <x:c r="B3" s="14" t="str">
        <x:v>2016</x:v>
      </x:c>
      <x:c r="C3" s="14" t="str">
        <x:v>HJA2016_Plate1</x:v>
      </x:c>
      <x:c r="D3" s="14" t="str">
        <x:v>Plate1</x:v>
      </x:c>
      <x:c r="E3" s="14" t="str">
        <x:v>S2</x:v>
      </x:c>
      <x:c r="F3" s="14" t="str">
        <x:v>WS3-1</x:v>
      </x:c>
      <x:c r="G3" s="14" t="str">
        <x:v>WS3-1</x:v>
      </x:c>
      <x:c r="H3" s="14" t="str">
        <x:v>Stream</x:v>
      </x:c>
      <x:c r="I3" s="14" t="str">
        <x:v>planktonic streamwater</x:v>
      </x:c>
      <x:c r="J3" s="14" t="str">
        <x:v>GSF2238-Lennon-Plate1-hja2016_002_S2_L001_R1_001.fastq.gz</x:v>
      </x:c>
      <x:c r="K3" s="14" t="str">
        <x:v>GSF2238-Lennon-Plate1-hja2016_002_S2_L001_R2_001.fastq.gz</x:v>
      </x:c>
      <x:c r="L3" s="14" t="str">
        <x:v>sequences/GSF2238-Lennon-Plate1-hja2016_002_S2_L001_R1_001.fastq.gz</x:v>
      </x:c>
      <x:c r="M3" s="14" t="str">
        <x:v>sequences/GSF2238-Lennon-Plate1-hja2016_002_S2_L001_R2_001.fastq.gz</x:v>
      </x:c>
      <x:c r="N3" s="14" t="str">
        <x:v>TRUE</x:v>
      </x:c>
      <x:c r="O3" s="14" t="str">
        <x:v>FALSE</x:v>
      </x:c>
      <x:c r="P3" s="14" t="str"/>
      <x:c r="Q3" s="14" t="str">
        <x:v>data/hja-env_data_clean.csv</x:v>
      </x:c>
      <x:c r="R3" s="14" t="str">
        <x:v>58</x:v>
      </x:c>
      <x:c r="S3" s="14" t="str">
        <x:v>MATCHED</x:v>
      </x:c>
      <x:c r="T3" s="14" t="str"/>
      <x:c r="U3" s="14" t="str"/>
      <x:c r="V3" s="14" t="str"/>
    </x:row>
    <x:row r="4" ht="20" customHeight="1">
      <x:c r="A4" s="14" t="str">
        <x:v>hja2016_003</x:v>
      </x:c>
      <x:c r="B4" s="14" t="str">
        <x:v>2016</x:v>
      </x:c>
      <x:c r="C4" s="14" t="str">
        <x:v>HJA2016_Plate1</x:v>
      </x:c>
      <x:c r="D4" s="14" t="str">
        <x:v>Plate1</x:v>
      </x:c>
      <x:c r="E4" s="14" t="str">
        <x:v>S3</x:v>
      </x:c>
      <x:c r="F4" s="14" t="str">
        <x:v>WS1-7</x:v>
      </x:c>
      <x:c r="G4" s="14" t="str">
        <x:v>WS1-7</x:v>
      </x:c>
      <x:c r="H4" s="14" t="str">
        <x:v>Hyporheic</x:v>
      </x:c>
      <x:c r="I4" s="14" t="str">
        <x:v>hyporheic water</x:v>
      </x:c>
      <x:c r="J4" s="14" t="str">
        <x:v>GSF2238-Lennon-Plate1-hja2016_003_S3_L001_R1_001.fastq.gz</x:v>
      </x:c>
      <x:c r="K4" s="14" t="str">
        <x:v>GSF2238-Lennon-Plate1-hja2016_003_S3_L001_R2_001.fastq.gz</x:v>
      </x:c>
      <x:c r="L4" s="14" t="str">
        <x:v>sequences/GSF2238-Lennon-Plate1-hja2016_003_S3_L001_R1_001.fastq.gz</x:v>
      </x:c>
      <x:c r="M4" s="14" t="str">
        <x:v>sequences/GSF2238-Lennon-Plate1-hja2016_003_S3_L001_R2_001.fastq.gz</x:v>
      </x:c>
      <x:c r="N4" s="14" t="str">
        <x:v>TRUE</x:v>
      </x:c>
      <x:c r="O4" s="14" t="str">
        <x:v>FALSE</x:v>
      </x:c>
      <x:c r="P4" s="14" t="str"/>
      <x:c r="Q4" s="14" t="str">
        <x:v>data/hja-env_data_clean.csv</x:v>
      </x:c>
      <x:c r="R4" s="14" t="str">
        <x:v>118</x:v>
      </x:c>
      <x:c r="S4" s="14" t="str">
        <x:v>MATCHED</x:v>
      </x:c>
      <x:c r="T4" s="14" t="str"/>
      <x:c r="U4" s="14" t="str"/>
      <x:c r="V4" s="14" t="str"/>
    </x:row>
    <x:row r="5" ht="20" customHeight="1">
      <x:c r="A5" s="14" t="str">
        <x:v>hja2016_005</x:v>
      </x:c>
      <x:c r="B5" s="14" t="str">
        <x:v>2016</x:v>
      </x:c>
      <x:c r="C5" s="14" t="str">
        <x:v>HJA2016_Plate1</x:v>
      </x:c>
      <x:c r="D5" s="14" t="str">
        <x:v>Plate1</x:v>
      </x:c>
      <x:c r="E5" s="14" t="str">
        <x:v>S4</x:v>
      </x:c>
      <x:c r="F5" s="14" t="str">
        <x:v>50</x:v>
      </x:c>
      <x:c r="G5" s="14" t="str">
        <x:v>50</x:v>
      </x:c>
      <x:c r="H5" s="14" t="str">
        <x:v>Hyporheic</x:v>
      </x:c>
      <x:c r="I5" s="14" t="str">
        <x:v>hyporheic water</x:v>
      </x:c>
      <x:c r="J5" s="14" t="str">
        <x:v>GSF2238-Lennon-Plate1-hja2016_005_S4_L001_R1_001.fastq.gz</x:v>
      </x:c>
      <x:c r="K5" s="14" t="str">
        <x:v>GSF2238-Lennon-Plate1-hja2016_005_S4_L001_R2_001.fastq.gz</x:v>
      </x:c>
      <x:c r="L5" s="14" t="str">
        <x:v>sequences/GSF2238-Lennon-Plate1-hja2016_005_S4_L001_R1_001.fastq.gz</x:v>
      </x:c>
      <x:c r="M5" s="14" t="str">
        <x:v>sequences/GSF2238-Lennon-Plate1-hja2016_005_S4_L001_R2_001.fastq.gz</x:v>
      </x:c>
      <x:c r="N5" s="14" t="str">
        <x:v>TRUE</x:v>
      </x:c>
      <x:c r="O5" s="14" t="str">
        <x:v>FALSE</x:v>
      </x:c>
      <x:c r="P5" s="14" t="str"/>
      <x:c r="Q5" s="14" t="str">
        <x:v>data/hja-env_data_clean.csv</x:v>
      </x:c>
      <x:c r="R5" s="14" t="str">
        <x:v>68</x:v>
      </x:c>
      <x:c r="S5" s="14" t="str">
        <x:v>MATCHED</x:v>
      </x:c>
      <x:c r="T5" s="14" t="str"/>
      <x:c r="U5" s="14" t="str"/>
      <x:c r="V5" s="14" t="str"/>
    </x:row>
    <x:row r="6" ht="20" customHeight="1">
      <x:c r="A6" s="14" t="str">
        <x:v>hja2016_008</x:v>
      </x:c>
      <x:c r="B6" s="14" t="str">
        <x:v>2016</x:v>
      </x:c>
      <x:c r="C6" s="14" t="str">
        <x:v>HJA2016_Plate1</x:v>
      </x:c>
      <x:c r="D6" s="14" t="str">
        <x:v>Plate1</x:v>
      </x:c>
      <x:c r="E6" s="14" t="str">
        <x:v>S5</x:v>
      </x:c>
      <x:c r="F6" s="14" t="str">
        <x:v>WS3-1</x:v>
      </x:c>
      <x:c r="G6" s="14" t="str">
        <x:v>WS3-1</x:v>
      </x:c>
      <x:c r="H6" s="14" t="str">
        <x:v>Hyporheic</x:v>
      </x:c>
      <x:c r="I6" s="14" t="str">
        <x:v>hyporheic water</x:v>
      </x:c>
      <x:c r="J6" s="14" t="str">
        <x:v>GSF2238-Lennon-Plate1-hja2016_008_S5_L001_R1_001.fastq.gz</x:v>
      </x:c>
      <x:c r="K6" s="14" t="str">
        <x:v>GSF2238-Lennon-Plate1-hja2016_008_S5_L001_R2_001.fastq.gz</x:v>
      </x:c>
      <x:c r="L6" s="14" t="str">
        <x:v>sequences/GSF2238-Lennon-Plate1-hja2016_008_S5_L001_R1_001.fastq.gz</x:v>
      </x:c>
      <x:c r="M6" s="14" t="str">
        <x:v>sequences/GSF2238-Lennon-Plate1-hja2016_008_S5_L001_R2_001.fastq.gz</x:v>
      </x:c>
      <x:c r="N6" s="14" t="str">
        <x:v>TRUE</x:v>
      </x:c>
      <x:c r="O6" s="14" t="str">
        <x:v>FALSE</x:v>
      </x:c>
      <x:c r="P6" s="14" t="str"/>
      <x:c r="Q6" s="14" t="str">
        <x:v>data/hja-env_data_clean.csv</x:v>
      </x:c>
      <x:c r="R6" s="14" t="str">
        <x:v>120</x:v>
      </x:c>
      <x:c r="S6" s="14" t="str">
        <x:v>MATCHED</x:v>
      </x:c>
      <x:c r="T6" s="14" t="str"/>
      <x:c r="U6" s="14" t="str"/>
      <x:c r="V6" s="14" t="str"/>
    </x:row>
    <x:row r="7" ht="20" customHeight="1">
      <x:c r="A7" s="14" t="str">
        <x:v>hja2016_009</x:v>
      </x:c>
      <x:c r="B7" s="14" t="str">
        <x:v>2016</x:v>
      </x:c>
      <x:c r="C7" s="14" t="str">
        <x:v>HJA2016_Plate1</x:v>
      </x:c>
      <x:c r="D7" s="14" t="str">
        <x:v>Plate1</x:v>
      </x:c>
      <x:c r="E7" s="14" t="str">
        <x:v>S6</x:v>
      </x:c>
      <x:c r="F7" s="14" t="str">
        <x:v>60</x:v>
      </x:c>
      <x:c r="G7" s="14" t="str">
        <x:v>60</x:v>
      </x:c>
      <x:c r="H7" s="14" t="str">
        <x:v>Hyporheic</x:v>
      </x:c>
      <x:c r="I7" s="14" t="str">
        <x:v>hyporheic water</x:v>
      </x:c>
      <x:c r="J7" s="14" t="str">
        <x:v>GSF2238-Lennon-Plate1-hja2016_009_S6_L001_R1_001.fastq.gz</x:v>
      </x:c>
      <x:c r="K7" s="14" t="str">
        <x:v>GSF2238-Lennon-Plate1-hja2016_009_S6_L001_R2_001.fastq.gz</x:v>
      </x:c>
      <x:c r="L7" s="14" t="str">
        <x:v>sequences/GSF2238-Lennon-Plate1-hja2016_009_S6_L001_R1_001.fastq.gz</x:v>
      </x:c>
      <x:c r="M7" s="14" t="str">
        <x:v>sequences/GSF2238-Lennon-Plate1-hja2016_009_S6_L001_R2_001.fastq.gz</x:v>
      </x:c>
      <x:c r="N7" s="14" t="str">
        <x:v>TRUE</x:v>
      </x:c>
      <x:c r="O7" s="14" t="str">
        <x:v>FALSE</x:v>
      </x:c>
      <x:c r="P7" s="14" t="str"/>
      <x:c r="Q7" s="14" t="str">
        <x:v>data/hja-env_data_clean.csv</x:v>
      </x:c>
      <x:c r="R7" s="14" t="str">
        <x:v>75</x:v>
      </x:c>
      <x:c r="S7" s="14" t="str">
        <x:v>MATCHED</x:v>
      </x:c>
      <x:c r="T7" s="14" t="str"/>
      <x:c r="U7" s="14" t="str"/>
      <x:c r="V7" s="14" t="str"/>
    </x:row>
    <x:row r="8" ht="20" customHeight="1">
      <x:c r="A8" s="14" t="str">
        <x:v>hja2016_010</x:v>
      </x:c>
      <x:c r="B8" s="14" t="str">
        <x:v>2016</x:v>
      </x:c>
      <x:c r="C8" s="14" t="str">
        <x:v>HJA2016_Plate1</x:v>
      </x:c>
      <x:c r="D8" s="14" t="str">
        <x:v>Plate1</x:v>
      </x:c>
      <x:c r="E8" s="14" t="str">
        <x:v>S7</x:v>
      </x:c>
      <x:c r="F8" s="14" t="str">
        <x:v>164</x:v>
      </x:c>
      <x:c r="G8" s="14" t="str">
        <x:v>164</x:v>
      </x:c>
      <x:c r="H8" s="14" t="str">
        <x:v>Stream</x:v>
      </x:c>
      <x:c r="I8" s="14" t="str">
        <x:v>planktonic streamwater</x:v>
      </x:c>
      <x:c r="J8" s="14" t="str">
        <x:v>GSF2238-Lennon-Plate1-hja2016_010_S7_L001_R1_001.fastq.gz</x:v>
      </x:c>
      <x:c r="K8" s="14" t="str">
        <x:v>GSF2238-Lennon-Plate1-hja2016_010_S7_L001_R2_001.fastq.gz</x:v>
      </x:c>
      <x:c r="L8" s="14" t="str">
        <x:v>sequences/GSF2238-Lennon-Plate1-hja2016_010_S7_L001_R1_001.fastq.gz</x:v>
      </x:c>
      <x:c r="M8" s="14" t="str">
        <x:v>sequences/GSF2238-Lennon-Plate1-hja2016_010_S7_L001_R2_001.fastq.gz</x:v>
      </x:c>
      <x:c r="N8" s="14" t="str">
        <x:v>TRUE</x:v>
      </x:c>
      <x:c r="O8" s="14" t="str">
        <x:v>FALSE</x:v>
      </x:c>
      <x:c r="P8" s="14" t="str"/>
      <x:c r="Q8" s="14" t="str">
        <x:v>data/hja-env_data_clean.csv</x:v>
      </x:c>
      <x:c r="R8" s="14" t="str">
        <x:v>33</x:v>
      </x:c>
      <x:c r="S8" s="14" t="str">
        <x:v>MATCHED</x:v>
      </x:c>
      <x:c r="T8" s="14" t="str"/>
      <x:c r="U8" s="14" t="str"/>
      <x:c r="V8" s="14" t="str"/>
    </x:row>
    <x:row r="9" ht="20" customHeight="1">
      <x:c r="A9" s="14" t="str">
        <x:v>hja2016_011</x:v>
      </x:c>
      <x:c r="B9" s="14" t="str">
        <x:v>2016</x:v>
      </x:c>
      <x:c r="C9" s="14" t="str">
        <x:v>HJA2016_Plate1</x:v>
      </x:c>
      <x:c r="D9" s="14" t="str">
        <x:v>Plate1</x:v>
      </x:c>
      <x:c r="E9" s="14" t="str">
        <x:v>S8</x:v>
      </x:c>
      <x:c r="F9" s="14" t="str">
        <x:v>WS1-6</x:v>
      </x:c>
      <x:c r="G9" s="14" t="str">
        <x:v>WS1-6</x:v>
      </x:c>
      <x:c r="H9" s="14" t="str">
        <x:v>Stream</x:v>
      </x:c>
      <x:c r="I9" s="14" t="str">
        <x:v>planktonic streamwater</x:v>
      </x:c>
      <x:c r="J9" s="14" t="str">
        <x:v>GSF2238-Lennon-Plate1-hja2016_011_S8_L001_R1_001.fastq.gz</x:v>
      </x:c>
      <x:c r="K9" s="14" t="str">
        <x:v>GSF2238-Lennon-Plate1-hja2016_011_S8_L001_R2_001.fastq.gz</x:v>
      </x:c>
      <x:c r="L9" s="14" t="str">
        <x:v>sequences/GSF2238-Lennon-Plate1-hja2016_011_S8_L001_R1_001.fastq.gz</x:v>
      </x:c>
      <x:c r="M9" s="14" t="str">
        <x:v>sequences/GSF2238-Lennon-Plate1-hja2016_011_S8_L001_R2_001.fastq.gz</x:v>
      </x:c>
      <x:c r="N9" s="14" t="str">
        <x:v>TRUE</x:v>
      </x:c>
      <x:c r="O9" s="14" t="str">
        <x:v>FALSE</x:v>
      </x:c>
      <x:c r="P9" s="14" t="str"/>
      <x:c r="Q9" s="14" t="str">
        <x:v>data/hja-env_data_clean.csv</x:v>
      </x:c>
      <x:c r="R9" s="14" t="str">
        <x:v>55</x:v>
      </x:c>
      <x:c r="S9" s="14" t="str">
        <x:v>MATCHED</x:v>
      </x:c>
      <x:c r="T9" s="14" t="str"/>
      <x:c r="U9" s="14" t="str"/>
      <x:c r="V9" s="14" t="str"/>
    </x:row>
    <x:row r="10" ht="20" customHeight="1">
      <x:c r="A10" s="14" t="str">
        <x:v>hja2016_013</x:v>
      </x:c>
      <x:c r="B10" s="14" t="str">
        <x:v>2016</x:v>
      </x:c>
      <x:c r="C10" s="14" t="str">
        <x:v>HJA2016_Plate1</x:v>
      </x:c>
      <x:c r="D10" s="14" t="str">
        <x:v>Plate1</x:v>
      </x:c>
      <x:c r="E10" s="14" t="str">
        <x:v>S9</x:v>
      </x:c>
      <x:c r="F10" s="14" t="str">
        <x:v>WS1-4</x:v>
      </x:c>
      <x:c r="G10" s="14" t="str">
        <x:v>WS1-4</x:v>
      </x:c>
      <x:c r="H10" s="14" t="str">
        <x:v>Stream</x:v>
      </x:c>
      <x:c r="I10" s="14" t="str">
        <x:v>planktonic streamwater</x:v>
      </x:c>
      <x:c r="J10" s="14" t="str">
        <x:v>GSF2238-Lennon-Plate1-hja2016_013_S9_L001_R1_001.fastq.gz</x:v>
      </x:c>
      <x:c r="K10" s="14" t="str">
        <x:v>GSF2238-Lennon-Plate1-hja2016_013_S9_L001_R2_001.fastq.gz</x:v>
      </x:c>
      <x:c r="L10" s="14" t="str">
        <x:v>sequences/GSF2238-Lennon-Plate1-hja2016_013_S9_L001_R1_001.fastq.gz</x:v>
      </x:c>
      <x:c r="M10" s="14" t="str">
        <x:v>sequences/GSF2238-Lennon-Plate1-hja2016_013_S9_L001_R2_001.fastq.gz</x:v>
      </x:c>
      <x:c r="N10" s="14" t="str">
        <x:v>TRUE</x:v>
      </x:c>
      <x:c r="O10" s="14" t="str">
        <x:v>FALSE</x:v>
      </x:c>
      <x:c r="P10" s="14" t="str"/>
      <x:c r="Q10" s="14" t="str">
        <x:v>data/hja-env_data_clean.csv</x:v>
      </x:c>
      <x:c r="R10" s="14" t="str">
        <x:v>53</x:v>
      </x:c>
      <x:c r="S10" s="14" t="str">
        <x:v>MATCHED</x:v>
      </x:c>
      <x:c r="T10" s="14" t="str"/>
      <x:c r="U10" s="14" t="str"/>
      <x:c r="V10" s="14" t="str"/>
    </x:row>
    <x:row r="11" ht="20" customHeight="1">
      <x:c r="A11" s="14" t="str">
        <x:v>hja2016_014</x:v>
      </x:c>
      <x:c r="B11" s="14" t="str">
        <x:v>2016</x:v>
      </x:c>
      <x:c r="C11" s="14" t="str">
        <x:v>HJA2016_Plate1</x:v>
      </x:c>
      <x:c r="D11" s="14" t="str">
        <x:v>Plate1</x:v>
      </x:c>
      <x:c r="E11" s="14" t="str">
        <x:v>S10</x:v>
      </x:c>
      <x:c r="F11" s="14" t="str">
        <x:v>WS1-6</x:v>
      </x:c>
      <x:c r="G11" s="14" t="str">
        <x:v>WS1-6</x:v>
      </x:c>
      <x:c r="H11" s="14" t="str">
        <x:v>Hyporheic</x:v>
      </x:c>
      <x:c r="I11" s="14" t="str">
        <x:v>hyporheic water</x:v>
      </x:c>
      <x:c r="J11" s="14" t="str">
        <x:v>GSF2238-Lennon-Plate1-hja2016_014_S10_L001_R1_001.fastq.gz</x:v>
      </x:c>
      <x:c r="K11" s="14" t="str">
        <x:v>GSF2238-Lennon-Plate1-hja2016_014_S10_L001_R2_001.fastq.gz</x:v>
      </x:c>
      <x:c r="L11" s="14" t="str">
        <x:v>sequences/GSF2238-Lennon-Plate1-hja2016_014_S10_L001_R1_001.fastq.gz</x:v>
      </x:c>
      <x:c r="M11" s="14" t="str">
        <x:v>sequences/GSF2238-Lennon-Plate1-hja2016_014_S10_L001_R2_001.fastq.gz</x:v>
      </x:c>
      <x:c r="N11" s="14" t="str">
        <x:v>TRUE</x:v>
      </x:c>
      <x:c r="O11" s="14" t="str">
        <x:v>FALSE</x:v>
      </x:c>
      <x:c r="P11" s="14" t="str"/>
      <x:c r="Q11" s="14" t="str">
        <x:v>data/hja-env_data_clean.csv</x:v>
      </x:c>
      <x:c r="R11" s="14" t="str">
        <x:v>117</x:v>
      </x:c>
      <x:c r="S11" s="14" t="str">
        <x:v>MATCHED</x:v>
      </x:c>
      <x:c r="T11" s="14" t="str"/>
      <x:c r="U11" s="14" t="str"/>
      <x:c r="V11" s="14" t="str"/>
    </x:row>
    <x:row r="12" ht="20" customHeight="1">
      <x:c r="A12" s="14" t="str">
        <x:v>hja2016_015</x:v>
      </x:c>
      <x:c r="B12" s="14" t="str">
        <x:v>2016</x:v>
      </x:c>
      <x:c r="C12" s="14" t="str">
        <x:v>HJA2016_Plate1</x:v>
      </x:c>
      <x:c r="D12" s="14" t="str">
        <x:v>Plate1</x:v>
      </x:c>
      <x:c r="E12" s="14" t="str">
        <x:v>S11</x:v>
      </x:c>
      <x:c r="F12" s="14" t="str">
        <x:v>47</x:v>
      </x:c>
      <x:c r="G12" s="14" t="str">
        <x:v>47</x:v>
      </x:c>
      <x:c r="H12" s="14" t="str">
        <x:v>Hyporheic</x:v>
      </x:c>
      <x:c r="I12" s="14" t="str">
        <x:v>hyporheic water</x:v>
      </x:c>
      <x:c r="J12" s="14" t="str">
        <x:v>GSF2238-Lennon-Plate1-hja2016_015_S11_L001_R1_001.fastq.gz</x:v>
      </x:c>
      <x:c r="K12" s="14" t="str">
        <x:v>GSF2238-Lennon-Plate1-hja2016_015_S11_L001_R2_001.fastq.gz</x:v>
      </x:c>
      <x:c r="L12" s="14" t="str">
        <x:v>sequences/GSF2238-Lennon-Plate1-hja2016_015_S11_L001_R1_001.fastq.gz</x:v>
      </x:c>
      <x:c r="M12" s="14" t="str">
        <x:v>sequences/GSF2238-Lennon-Plate1-hja2016_015_S11_L001_R2_001.fastq.gz</x:v>
      </x:c>
      <x:c r="N12" s="14" t="str">
        <x:v>TRUE</x:v>
      </x:c>
      <x:c r="O12" s="14" t="str">
        <x:v>FALSE</x:v>
      </x:c>
      <x:c r="P12" s="14" t="str"/>
      <x:c r="Q12" s="14" t="str">
        <x:v>data/hja-env_data_clean.csv</x:v>
      </x:c>
      <x:c r="R12" s="14" t="str">
        <x:v>66</x:v>
      </x:c>
      <x:c r="S12" s="14" t="str">
        <x:v>MATCHED</x:v>
      </x:c>
      <x:c r="T12" s="14" t="str"/>
      <x:c r="U12" s="14" t="str"/>
      <x:c r="V12" s="14" t="str"/>
    </x:row>
    <x:row r="13" ht="20" customHeight="1">
      <x:c r="A13" s="14" t="str">
        <x:v>hja2016_016</x:v>
      </x:c>
      <x:c r="B13" s="14" t="str">
        <x:v>2016</x:v>
      </x:c>
      <x:c r="C13" s="14" t="str">
        <x:v>HJA2016_Plate1</x:v>
      </x:c>
      <x:c r="D13" s="14" t="str">
        <x:v>Plate1</x:v>
      </x:c>
      <x:c r="E13" s="14" t="str">
        <x:v>S12</x:v>
      </x:c>
      <x:c r="F13" s="14" t="str">
        <x:v>74</x:v>
      </x:c>
      <x:c r="G13" s="14" t="str">
        <x:v>74</x:v>
      </x:c>
      <x:c r="H13" s="14" t="str">
        <x:v>Hyporheic</x:v>
      </x:c>
      <x:c r="I13" s="14" t="str">
        <x:v>hyporheic water</x:v>
      </x:c>
      <x:c r="J13" s="14" t="str">
        <x:v>GSF2238-Lennon-Plate1-hja2016_016_S12_L001_R1_001.fastq.gz</x:v>
      </x:c>
      <x:c r="K13" s="14" t="str">
        <x:v>GSF2238-Lennon-Plate1-hja2016_016_S12_L001_R2_001.fastq.gz</x:v>
      </x:c>
      <x:c r="L13" s="14" t="str">
        <x:v>sequences/GSF2238-Lennon-Plate1-hja2016_016_S12_L001_R1_001.fastq.gz</x:v>
      </x:c>
      <x:c r="M13" s="14" t="str">
        <x:v>sequences/GSF2238-Lennon-Plate1-hja2016_016_S12_L001_R2_001.fastq.gz</x:v>
      </x:c>
      <x:c r="N13" s="14" t="str">
        <x:v>TRUE</x:v>
      </x:c>
      <x:c r="O13" s="14" t="str">
        <x:v>FALSE</x:v>
      </x:c>
      <x:c r="P13" s="14" t="str"/>
      <x:c r="Q13" s="14" t="str">
        <x:v>data/hja-env_data_clean.csv</x:v>
      </x:c>
      <x:c r="R13" s="14" t="str">
        <x:v>84</x:v>
      </x:c>
      <x:c r="S13" s="14" t="str">
        <x:v>MATCHED</x:v>
      </x:c>
      <x:c r="T13" s="14" t="str"/>
      <x:c r="U13" s="14" t="str"/>
      <x:c r="V13" s="14" t="str"/>
    </x:row>
    <x:row r="14" ht="20" customHeight="1">
      <x:c r="A14" s="14" t="str">
        <x:v>hja2016_018</x:v>
      </x:c>
      <x:c r="B14" s="14" t="str">
        <x:v>2016</x:v>
      </x:c>
      <x:c r="C14" s="14" t="str">
        <x:v>HJA2016_Plate1</x:v>
      </x:c>
      <x:c r="D14" s="14" t="str">
        <x:v>Plate1</x:v>
      </x:c>
      <x:c r="E14" s="14" t="str">
        <x:v>S13</x:v>
      </x:c>
      <x:c r="F14" s="14" t="str">
        <x:v>WS1-5</x:v>
      </x:c>
      <x:c r="G14" s="14" t="str">
        <x:v>WS1-5</x:v>
      </x:c>
      <x:c r="H14" s="14" t="str">
        <x:v>Hyporheic</x:v>
      </x:c>
      <x:c r="I14" s="14" t="str">
        <x:v>hyporheic water</x:v>
      </x:c>
      <x:c r="J14" s="14" t="str">
        <x:v>GSF2238-Lennon-Plate1-hja2016_018_S13_L001_R1_001.fastq.gz</x:v>
      </x:c>
      <x:c r="K14" s="14" t="str">
        <x:v>GSF2238-Lennon-Plate1-hja2016_018_S13_L001_R2_001.fastq.gz</x:v>
      </x:c>
      <x:c r="L14" s="14" t="str">
        <x:v>sequences/GSF2238-Lennon-Plate1-hja2016_018_S13_L001_R1_001.fastq.gz</x:v>
      </x:c>
      <x:c r="M14" s="14" t="str">
        <x:v>sequences/GSF2238-Lennon-Plate1-hja2016_018_S13_L001_R2_001.fastq.gz</x:v>
      </x:c>
      <x:c r="N14" s="14" t="str">
        <x:v>TRUE</x:v>
      </x:c>
      <x:c r="O14" s="14" t="str">
        <x:v>FALSE</x:v>
      </x:c>
      <x:c r="P14" s="14" t="str"/>
      <x:c r="Q14" s="14" t="str">
        <x:v>data/hja-env_data_clean.csv</x:v>
      </x:c>
      <x:c r="R14" s="14" t="str">
        <x:v>116</x:v>
      </x:c>
      <x:c r="S14" s="14" t="str">
        <x:v>MATCHED</x:v>
      </x:c>
      <x:c r="T14" s="14" t="str"/>
      <x:c r="U14" s="14" t="str"/>
      <x:c r="V14" s="14" t="str"/>
    </x:row>
    <x:row r="15" ht="20" customHeight="1">
      <x:c r="A15" s="14" t="str">
        <x:v>hja2016_019</x:v>
      </x:c>
      <x:c r="B15" s="14" t="str">
        <x:v>2016</x:v>
      </x:c>
      <x:c r="C15" s="14" t="str">
        <x:v>HJA2016_Plate1</x:v>
      </x:c>
      <x:c r="D15" s="14" t="str">
        <x:v>Plate1</x:v>
      </x:c>
      <x:c r="E15" s="14" t="str">
        <x:v>S14</x:v>
      </x:c>
      <x:c r="F15" s="14" t="str">
        <x:v>155</x:v>
      </x:c>
      <x:c r="G15" s="14" t="str">
        <x:v>155</x:v>
      </x:c>
      <x:c r="H15" s="14" t="str">
        <x:v>Hyporheic</x:v>
      </x:c>
      <x:c r="I15" s="14" t="str">
        <x:v>hyporheic water</x:v>
      </x:c>
      <x:c r="J15" s="14" t="str">
        <x:v>GSF2238-Lennon-Plate1-hja2016_019_S14_L001_R1_001.fastq.gz</x:v>
      </x:c>
      <x:c r="K15" s="14" t="str">
        <x:v>GSF2238-Lennon-Plate1-hja2016_019_S14_L001_R2_001.fastq.gz</x:v>
      </x:c>
      <x:c r="L15" s="14" t="str">
        <x:v>sequences/GSF2238-Lennon-Plate1-hja2016_019_S14_L001_R1_001.fastq.gz</x:v>
      </x:c>
      <x:c r="M15" s="14" t="str">
        <x:v>sequences/GSF2238-Lennon-Plate1-hja2016_019_S14_L001_R2_001.fastq.gz</x:v>
      </x:c>
      <x:c r="N15" s="14" t="str">
        <x:v>TRUE</x:v>
      </x:c>
      <x:c r="O15" s="14" t="str">
        <x:v>FALSE</x:v>
      </x:c>
      <x:c r="P15" s="14" t="str"/>
      <x:c r="Q15" s="14" t="str">
        <x:v>data/hja-env_data_clean.csv</x:v>
      </x:c>
      <x:c r="R15" s="14" t="str">
        <x:v>89</x:v>
      </x:c>
      <x:c r="S15" s="14" t="str">
        <x:v>MATCHED</x:v>
      </x:c>
      <x:c r="T15" s="14" t="str"/>
      <x:c r="U15" s="14" t="str"/>
      <x:c r="V15" s="14" t="str"/>
    </x:row>
    <x:row r="16" ht="20" customHeight="1">
      <x:c r="A16" s="14" t="str">
        <x:v>hja2016_020</x:v>
      </x:c>
      <x:c r="B16" s="14" t="str">
        <x:v>2016</x:v>
      </x:c>
      <x:c r="C16" s="14" t="str">
        <x:v>HJA2016_Plate1</x:v>
      </x:c>
      <x:c r="D16" s="14" t="str">
        <x:v>Plate1</x:v>
      </x:c>
      <x:c r="E16" s="14" t="str">
        <x:v>S15</x:v>
      </x:c>
      <x:c r="F16" s="14" t="str">
        <x:v>WS1-2</x:v>
      </x:c>
      <x:c r="G16" s="14" t="str">
        <x:v>WS1-2</x:v>
      </x:c>
      <x:c r="H16" s="14" t="str">
        <x:v>Hyporheic</x:v>
      </x:c>
      <x:c r="I16" s="14" t="str">
        <x:v>hyporheic water</x:v>
      </x:c>
      <x:c r="J16" s="14" t="str">
        <x:v>GSF2238-Lennon-Plate1-hja2016_020_S15_L001_R1_001.fastq.gz</x:v>
      </x:c>
      <x:c r="K16" s="14" t="str">
        <x:v>GSF2238-Lennon-Plate1-hja2016_020_S15_L001_R2_001.fastq.gz</x:v>
      </x:c>
      <x:c r="L16" s="14" t="str">
        <x:v>sequences/GSF2238-Lennon-Plate1-hja2016_020_S15_L001_R1_001.fastq.gz</x:v>
      </x:c>
      <x:c r="M16" s="14" t="str">
        <x:v>sequences/GSF2238-Lennon-Plate1-hja2016_020_S15_L001_R2_001.fastq.gz</x:v>
      </x:c>
      <x:c r="N16" s="14" t="str">
        <x:v>TRUE</x:v>
      </x:c>
      <x:c r="O16" s="14" t="str">
        <x:v>FALSE</x:v>
      </x:c>
      <x:c r="P16" s="14" t="str"/>
      <x:c r="Q16" s="14" t="str">
        <x:v>data/hja-env_data_clean.csv</x:v>
      </x:c>
      <x:c r="R16" s="14" t="str">
        <x:v>113</x:v>
      </x:c>
      <x:c r="S16" s="14" t="str">
        <x:v>MATCHED</x:v>
      </x:c>
      <x:c r="T16" s="14" t="str"/>
      <x:c r="U16" s="14" t="str"/>
      <x:c r="V16" s="14" t="str"/>
    </x:row>
    <x:row r="17" ht="20" customHeight="1">
      <x:c r="A17" s="14" t="str">
        <x:v>hja2016_021</x:v>
      </x:c>
      <x:c r="B17" s="14" t="str">
        <x:v>2016</x:v>
      </x:c>
      <x:c r="C17" s="14" t="str">
        <x:v>HJA2016_Plate1</x:v>
      </x:c>
      <x:c r="D17" s="14" t="str">
        <x:v>Plate1</x:v>
      </x:c>
      <x:c r="E17" s="14" t="str">
        <x:v>S16</x:v>
      </x:c>
      <x:c r="F17" s="14" t="str">
        <x:v>156</x:v>
      </x:c>
      <x:c r="G17" s="14" t="str">
        <x:v>156</x:v>
      </x:c>
      <x:c r="H17" s="14" t="str">
        <x:v>Hyporheic</x:v>
      </x:c>
      <x:c r="I17" s="14" t="str">
        <x:v>hyporheic water</x:v>
      </x:c>
      <x:c r="J17" s="14" t="str">
        <x:v>GSF2238-Lennon-Plate1-hja2016_021_S16_L001_R1_001.fastq.gz</x:v>
      </x:c>
      <x:c r="K17" s="14" t="str">
        <x:v>GSF2238-Lennon-Plate1-hja2016_021_S16_L001_R2_001.fastq.gz</x:v>
      </x:c>
      <x:c r="L17" s="14" t="str">
        <x:v>sequences/GSF2238-Lennon-Plate1-hja2016_021_S16_L001_R1_001.fastq.gz</x:v>
      </x:c>
      <x:c r="M17" s="14" t="str">
        <x:v>sequences/GSF2238-Lennon-Plate1-hja2016_021_S16_L001_R2_001.fastq.gz</x:v>
      </x:c>
      <x:c r="N17" s="14" t="str">
        <x:v>TRUE</x:v>
      </x:c>
      <x:c r="O17" s="14" t="str">
        <x:v>FALSE</x:v>
      </x:c>
      <x:c r="P17" s="14" t="str"/>
      <x:c r="Q17" s="14" t="str">
        <x:v>data/hja-env_data_clean.csv</x:v>
      </x:c>
      <x:c r="R17" s="14" t="str">
        <x:v>90</x:v>
      </x:c>
      <x:c r="S17" s="14" t="str">
        <x:v>MATCHED</x:v>
      </x:c>
      <x:c r="T17" s="14" t="str"/>
      <x:c r="U17" s="14" t="str"/>
      <x:c r="V17" s="14" t="str"/>
    </x:row>
    <x:row r="18" ht="20" customHeight="1">
      <x:c r="A18" s="14" t="str">
        <x:v>hja2016_027</x:v>
      </x:c>
      <x:c r="B18" s="14" t="str">
        <x:v>2016</x:v>
      </x:c>
      <x:c r="C18" s="14" t="str">
        <x:v>HJA2016_Plate1</x:v>
      </x:c>
      <x:c r="D18" s="14" t="str">
        <x:v>Plate1</x:v>
      </x:c>
      <x:c r="E18" s="14" t="str">
        <x:v>S17</x:v>
      </x:c>
      <x:c r="F18" s="14" t="str">
        <x:v>WS3-6</x:v>
      </x:c>
      <x:c r="G18" s="14" t="str">
        <x:v>WS3-6</x:v>
      </x:c>
      <x:c r="H18" s="14" t="str">
        <x:v>Stream</x:v>
      </x:c>
      <x:c r="I18" s="14" t="str">
        <x:v>planktonic streamwater</x:v>
      </x:c>
      <x:c r="J18" s="14" t="str">
        <x:v>GSF2238-Lennon-Plate1-hja2016_027_S17_L001_R1_001.fastq.gz</x:v>
      </x:c>
      <x:c r="K18" s="14" t="str">
        <x:v>GSF2238-Lennon-Plate1-hja2016_027_S17_L001_R2_001.fastq.gz</x:v>
      </x:c>
      <x:c r="L18" s="14" t="str">
        <x:v>sequences/GSF2238-Lennon-Plate1-hja2016_027_S17_L001_R1_001.fastq.gz</x:v>
      </x:c>
      <x:c r="M18" s="14" t="str">
        <x:v>sequences/GSF2238-Lennon-Plate1-hja2016_027_S17_L001_R2_001.fastq.gz</x:v>
      </x:c>
      <x:c r="N18" s="14" t="str">
        <x:v>TRUE</x:v>
      </x:c>
      <x:c r="O18" s="14" t="str">
        <x:v>FALSE</x:v>
      </x:c>
      <x:c r="P18" s="14" t="str"/>
      <x:c r="Q18" s="14" t="str">
        <x:v>data/hja-env_data_clean.csv</x:v>
      </x:c>
      <x:c r="R18" s="14" t="str">
        <x:v>63</x:v>
      </x:c>
      <x:c r="S18" s="14" t="str">
        <x:v>MATCHED</x:v>
      </x:c>
      <x:c r="T18" s="14" t="str"/>
      <x:c r="U18" s="14" t="str"/>
      <x:c r="V18" s="14" t="str"/>
    </x:row>
    <x:row r="19" ht="20" customHeight="1">
      <x:c r="A19" s="14" t="str">
        <x:v>hja2016_029</x:v>
      </x:c>
      <x:c r="B19" s="14" t="str">
        <x:v>2016</x:v>
      </x:c>
      <x:c r="C19" s="14" t="str">
        <x:v>HJA2016_Plate1</x:v>
      </x:c>
      <x:c r="D19" s="14" t="str">
        <x:v>Plate1</x:v>
      </x:c>
      <x:c r="E19" s="14" t="str">
        <x:v>S18</x:v>
      </x:c>
      <x:c r="F19" s="14" t="str">
        <x:v>192</x:v>
      </x:c>
      <x:c r="G19" s="14" t="str">
        <x:v>192</x:v>
      </x:c>
      <x:c r="H19" s="14" t="str">
        <x:v>Stream</x:v>
      </x:c>
      <x:c r="I19" s="14" t="str">
        <x:v>planktonic streamwater</x:v>
      </x:c>
      <x:c r="J19" s="14" t="str">
        <x:v>GSF2238-Lennon-Plate1-hja2016_029_S18_L001_R1_001.fastq.gz</x:v>
      </x:c>
      <x:c r="K19" s="14" t="str">
        <x:v>GSF2238-Lennon-Plate1-hja2016_029_S18_L001_R2_001.fastq.gz</x:v>
      </x:c>
      <x:c r="L19" s="14" t="str">
        <x:v>sequences/GSF2238-Lennon-Plate1-hja2016_029_S18_L001_R1_001.fastq.gz</x:v>
      </x:c>
      <x:c r="M19" s="14" t="str">
        <x:v>sequences/GSF2238-Lennon-Plate1-hja2016_029_S18_L001_R2_001.fastq.gz</x:v>
      </x:c>
      <x:c r="N19" s="14" t="str">
        <x:v>TRUE</x:v>
      </x:c>
      <x:c r="O19" s="14" t="str">
        <x:v>FALSE</x:v>
      </x:c>
      <x:c r="P19" s="14" t="str"/>
      <x:c r="Q19" s="14" t="str">
        <x:v>data/hja-env_data_clean.csv</x:v>
      </x:c>
      <x:c r="R19" s="14" t="str">
        <x:v>40</x:v>
      </x:c>
      <x:c r="S19" s="14" t="str">
        <x:v>MATCHED</x:v>
      </x:c>
      <x:c r="T19" s="14" t="str"/>
      <x:c r="U19" s="14" t="str"/>
      <x:c r="V19" s="14" t="str"/>
    </x:row>
    <x:row r="20" ht="20" customHeight="1">
      <x:c r="A20" s="14" t="str">
        <x:v>hja2016_030</x:v>
      </x:c>
      <x:c r="B20" s="14" t="str">
        <x:v>2016</x:v>
      </x:c>
      <x:c r="C20" s="14" t="str">
        <x:v>HJA2016_Plate1</x:v>
      </x:c>
      <x:c r="D20" s="14" t="str">
        <x:v>Plate1</x:v>
      </x:c>
      <x:c r="E20" s="14" t="str">
        <x:v>S19</x:v>
      </x:c>
      <x:c r="F20" s="14" t="str">
        <x:v>190</x:v>
      </x:c>
      <x:c r="G20" s="14" t="str">
        <x:v>190</x:v>
      </x:c>
      <x:c r="H20" s="14" t="str">
        <x:v>Stream</x:v>
      </x:c>
      <x:c r="I20" s="14" t="str">
        <x:v>planktonic streamwater</x:v>
      </x:c>
      <x:c r="J20" s="14" t="str">
        <x:v>GSF2238-Lennon-Plate1-hja2016_030_S19_L001_R1_001.fastq.gz</x:v>
      </x:c>
      <x:c r="K20" s="14" t="str">
        <x:v>GSF2238-Lennon-Plate1-hja2016_030_S19_L001_R2_001.fastq.gz</x:v>
      </x:c>
      <x:c r="L20" s="14" t="str">
        <x:v>sequences/GSF2238-Lennon-Plate1-hja2016_030_S19_L001_R1_001.fastq.gz</x:v>
      </x:c>
      <x:c r="M20" s="14" t="str">
        <x:v>sequences/GSF2238-Lennon-Plate1-hja2016_030_S19_L001_R2_001.fastq.gz</x:v>
      </x:c>
      <x:c r="N20" s="14" t="str">
        <x:v>TRUE</x:v>
      </x:c>
      <x:c r="O20" s="14" t="str">
        <x:v>FALSE</x:v>
      </x:c>
      <x:c r="P20" s="14" t="str"/>
      <x:c r="Q20" s="14" t="str">
        <x:v>data/hja-env_data_clean.csv</x:v>
      </x:c>
      <x:c r="R20" s="14" t="str">
        <x:v>39</x:v>
      </x:c>
      <x:c r="S20" s="14" t="str">
        <x:v>MATCHED</x:v>
      </x:c>
      <x:c r="T20" s="14" t="str"/>
      <x:c r="U20" s="14" t="str"/>
      <x:c r="V20" s="14" t="str"/>
    </x:row>
    <x:row r="21" ht="20" customHeight="1">
      <x:c r="A21" s="14" t="str">
        <x:v>hja2016_031</x:v>
      </x:c>
      <x:c r="B21" s="14" t="str">
        <x:v>2016</x:v>
      </x:c>
      <x:c r="C21" s="14" t="str">
        <x:v>HJA2016_Plate2</x:v>
      </x:c>
      <x:c r="D21" s="14" t="str">
        <x:v>Plate2</x:v>
      </x:c>
      <x:c r="E21" s="14" t="str">
        <x:v>S20</x:v>
      </x:c>
      <x:c r="F21" s="14" t="str">
        <x:v>161</x:v>
      </x:c>
      <x:c r="G21" s="14" t="str">
        <x:v>161</x:v>
      </x:c>
      <x:c r="H21" s="14" t="str">
        <x:v>Hyporheic</x:v>
      </x:c>
      <x:c r="I21" s="14" t="str">
        <x:v>hyporheic water</x:v>
      </x:c>
      <x:c r="J21" s="14" t="str">
        <x:v>GSF2238-Lennon-Plate2-hja2016_031_S20_L001_R1_001.fastq.gz</x:v>
      </x:c>
      <x:c r="K21" s="14" t="str">
        <x:v>GSF2238-Lennon-Plate2-hja2016_031_S20_L001_R2_001.fastq.gz</x:v>
      </x:c>
      <x:c r="L21" s="14" t="str">
        <x:v>sequences/GSF2238-Lennon-Plate2-hja2016_031_S20_L001_R1_001.fastq.gz</x:v>
      </x:c>
      <x:c r="M21" s="14" t="str">
        <x:v>sequences/GSF2238-Lennon-Plate2-hja2016_031_S20_L001_R2_001.fastq.gz</x:v>
      </x:c>
      <x:c r="N21" s="14" t="str">
        <x:v>TRUE</x:v>
      </x:c>
      <x:c r="O21" s="14" t="str">
        <x:v>FALSE</x:v>
      </x:c>
      <x:c r="P21" s="14" t="str"/>
      <x:c r="Q21" s="14" t="str">
        <x:v>data/hja-env_data_clean.csv</x:v>
      </x:c>
      <x:c r="R21" s="14" t="str">
        <x:v>92</x:v>
      </x:c>
      <x:c r="S21" s="14" t="str">
        <x:v>MATCHED</x:v>
      </x:c>
      <x:c r="T21" s="14" t="str"/>
      <x:c r="U21" s="14" t="str"/>
      <x:c r="V21" s="14" t="str"/>
    </x:row>
    <x:row r="22" ht="20" customHeight="1">
      <x:c r="A22" s="14" t="str">
        <x:v>hja2016_032</x:v>
      </x:c>
      <x:c r="B22" s="14" t="str">
        <x:v>2016</x:v>
      </x:c>
      <x:c r="C22" s="14" t="str">
        <x:v>HJA2016_Plate2</x:v>
      </x:c>
      <x:c r="D22" s="14" t="str">
        <x:v>Plate2</x:v>
      </x:c>
      <x:c r="E22" s="14" t="str">
        <x:v>S21</x:v>
      </x:c>
      <x:c r="F22" s="14" t="str">
        <x:v>54</x:v>
      </x:c>
      <x:c r="G22" s="14" t="str">
        <x:v>54</x:v>
      </x:c>
      <x:c r="H22" s="14" t="str">
        <x:v>Hyporheic</x:v>
      </x:c>
      <x:c r="I22" s="14" t="str">
        <x:v>hyporheic water</x:v>
      </x:c>
      <x:c r="J22" s="14" t="str">
        <x:v>GSF2238-Lennon-Plate2-hja2016_032_S21_L001_R1_001.fastq.gz</x:v>
      </x:c>
      <x:c r="K22" s="14" t="str">
        <x:v>GSF2238-Lennon-Plate2-hja2016_032_S21_L001_R2_001.fastq.gz</x:v>
      </x:c>
      <x:c r="L22" s="14" t="str">
        <x:v>sequences/GSF2238-Lennon-Plate2-hja2016_032_S21_L001_R1_001.fastq.gz</x:v>
      </x:c>
      <x:c r="M22" s="14" t="str">
        <x:v>sequences/GSF2238-Lennon-Plate2-hja2016_032_S21_L001_R2_001.fastq.gz</x:v>
      </x:c>
      <x:c r="N22" s="14" t="str">
        <x:v>TRUE</x:v>
      </x:c>
      <x:c r="O22" s="14" t="str">
        <x:v>FALSE</x:v>
      </x:c>
      <x:c r="P22" s="14" t="str"/>
      <x:c r="Q22" s="14" t="str">
        <x:v>data/hja-env_data_clean.csv</x:v>
      </x:c>
      <x:c r="R22" s="14" t="str">
        <x:v>70</x:v>
      </x:c>
      <x:c r="S22" s="14" t="str">
        <x:v>MATCHED</x:v>
      </x:c>
      <x:c r="T22" s="14" t="str"/>
      <x:c r="U22" s="14" t="str"/>
      <x:c r="V22" s="14" t="str"/>
    </x:row>
    <x:row r="23" ht="20" customHeight="1">
      <x:c r="A23" s="14" t="str">
        <x:v>hja2016_035</x:v>
      </x:c>
      <x:c r="B23" s="14" t="str">
        <x:v>2016</x:v>
      </x:c>
      <x:c r="C23" s="14" t="str">
        <x:v>HJA2016_Plate2</x:v>
      </x:c>
      <x:c r="D23" s="14" t="str">
        <x:v>Plate2</x:v>
      </x:c>
      <x:c r="E23" s="14" t="str">
        <x:v>S22</x:v>
      </x:c>
      <x:c r="F23" s="14" t="str">
        <x:v>192</x:v>
      </x:c>
      <x:c r="G23" s="14" t="str">
        <x:v>192</x:v>
      </x:c>
      <x:c r="H23" s="14" t="str">
        <x:v>Hyporheic</x:v>
      </x:c>
      <x:c r="I23" s="14" t="str">
        <x:v>hyporheic water</x:v>
      </x:c>
      <x:c r="J23" s="14" t="str">
        <x:v>GSF2238-Lennon-Plate2-hja2016_035_S22_L001_R1_001.fastq.gz</x:v>
      </x:c>
      <x:c r="K23" s="14" t="str">
        <x:v>GSF2238-Lennon-Plate2-hja2016_035_S22_L001_R2_001.fastq.gz</x:v>
      </x:c>
      <x:c r="L23" s="14" t="str">
        <x:v>sequences/GSF2238-Lennon-Plate2-hja2016_035_S22_L001_R1_001.fastq.gz</x:v>
      </x:c>
      <x:c r="M23" s="14" t="str">
        <x:v>sequences/GSF2238-Lennon-Plate2-hja2016_035_S22_L001_R2_001.fastq.gz</x:v>
      </x:c>
      <x:c r="N23" s="14" t="str">
        <x:v>TRUE</x:v>
      </x:c>
      <x:c r="O23" s="14" t="str">
        <x:v>FALSE</x:v>
      </x:c>
      <x:c r="P23" s="14" t="str"/>
      <x:c r="Q23" s="14" t="str">
        <x:v>data/hja-env_data_clean.csv</x:v>
      </x:c>
      <x:c r="R23" s="14" t="str">
        <x:v>102</x:v>
      </x:c>
      <x:c r="S23" s="14" t="str">
        <x:v>MATCHED</x:v>
      </x:c>
      <x:c r="T23" s="14" t="str"/>
      <x:c r="U23" s="14" t="str"/>
      <x:c r="V23" s="14" t="str"/>
    </x:row>
    <x:row r="24" ht="20" customHeight="1">
      <x:c r="A24" s="14" t="str">
        <x:v>hja2016_037</x:v>
      </x:c>
      <x:c r="B24" s="14" t="str">
        <x:v>2016</x:v>
      </x:c>
      <x:c r="C24" s="14" t="str">
        <x:v>HJA2016_Plate2</x:v>
      </x:c>
      <x:c r="D24" s="14" t="str">
        <x:v>Plate2</x:v>
      </x:c>
      <x:c r="E24" s="14" t="str">
        <x:v>S23</x:v>
      </x:c>
      <x:c r="F24" s="14" t="str">
        <x:v>43</x:v>
      </x:c>
      <x:c r="G24" s="14" t="str">
        <x:v>43</x:v>
      </x:c>
      <x:c r="H24" s="14" t="str">
        <x:v>Hyporheic</x:v>
      </x:c>
      <x:c r="I24" s="14" t="str">
        <x:v>hyporheic water</x:v>
      </x:c>
      <x:c r="J24" s="14" t="str">
        <x:v>GSF2238-Lennon-Plate2-hja2016_037_S23_L001_R1_001.fastq.gz</x:v>
      </x:c>
      <x:c r="K24" s="14" t="str">
        <x:v>GSF2238-Lennon-Plate2-hja2016_037_S23_L001_R2_001.fastq.gz</x:v>
      </x:c>
      <x:c r="L24" s="14" t="str">
        <x:v>sequences/GSF2238-Lennon-Plate2-hja2016_037_S23_L001_R1_001.fastq.gz</x:v>
      </x:c>
      <x:c r="M24" s="14" t="str">
        <x:v>sequences/GSF2238-Lennon-Plate2-hja2016_037_S23_L001_R2_001.fastq.gz</x:v>
      </x:c>
      <x:c r="N24" s="14" t="str">
        <x:v>TRUE</x:v>
      </x:c>
      <x:c r="O24" s="14" t="str">
        <x:v>FALSE</x:v>
      </x:c>
      <x:c r="P24" s="14" t="str"/>
      <x:c r="Q24" s="14" t="str">
        <x:v>data/hja-env_data_clean.csv</x:v>
      </x:c>
      <x:c r="R24" s="14" t="str">
        <x:v>64</x:v>
      </x:c>
      <x:c r="S24" s="14" t="str">
        <x:v>MATCHED</x:v>
      </x:c>
      <x:c r="T24" s="14" t="str"/>
      <x:c r="U24" s="14" t="str"/>
      <x:c r="V24" s="14" t="str"/>
    </x:row>
    <x:row r="25" ht="20" customHeight="1">
      <x:c r="A25" s="14" t="str">
        <x:v>hja2016_040</x:v>
      </x:c>
      <x:c r="B25" s="14" t="str">
        <x:v>2016</x:v>
      </x:c>
      <x:c r="C25" s="14" t="str">
        <x:v>HJA2016_Plate2</x:v>
      </x:c>
      <x:c r="D25" s="14" t="str">
        <x:v>Plate2</x:v>
      </x:c>
      <x:c r="E25" s="14" t="str">
        <x:v>S24</x:v>
      </x:c>
      <x:c r="F25" s="14" t="str">
        <x:v>190</x:v>
      </x:c>
      <x:c r="G25" s="14" t="str">
        <x:v>190</x:v>
      </x:c>
      <x:c r="H25" s="14" t="str">
        <x:v>Hyporheic</x:v>
      </x:c>
      <x:c r="I25" s="14" t="str">
        <x:v>hyporheic water</x:v>
      </x:c>
      <x:c r="J25" s="14" t="str">
        <x:v>GSF2238-Lennon-Plate2-hja2016_040_S24_L001_R1_001.fastq.gz</x:v>
      </x:c>
      <x:c r="K25" s="14" t="str">
        <x:v>GSF2238-Lennon-Plate2-hja2016_040_S24_L001_R2_001.fastq.gz</x:v>
      </x:c>
      <x:c r="L25" s="14" t="str">
        <x:v>sequences/GSF2238-Lennon-Plate2-hja2016_040_S24_L001_R1_001.fastq.gz</x:v>
      </x:c>
      <x:c r="M25" s="14" t="str">
        <x:v>sequences/GSF2238-Lennon-Plate2-hja2016_040_S24_L001_R2_001.fastq.gz</x:v>
      </x:c>
      <x:c r="N25" s="14" t="str">
        <x:v>TRUE</x:v>
      </x:c>
      <x:c r="O25" s="14" t="str">
        <x:v>FALSE</x:v>
      </x:c>
      <x:c r="P25" s="14" t="str"/>
      <x:c r="Q25" s="14" t="str">
        <x:v>data/hja-env_data_clean.csv</x:v>
      </x:c>
      <x:c r="R25" s="14" t="str">
        <x:v>101</x:v>
      </x:c>
      <x:c r="S25" s="14" t="str">
        <x:v>MATCHED</x:v>
      </x:c>
      <x:c r="T25" s="14" t="str"/>
      <x:c r="U25" s="14" t="str"/>
      <x:c r="V25" s="14" t="str"/>
    </x:row>
    <x:row r="26" ht="20" customHeight="1">
      <x:c r="A26" s="14" t="str">
        <x:v>hja2016_042</x:v>
      </x:c>
      <x:c r="B26" s="14" t="str">
        <x:v>2016</x:v>
      </x:c>
      <x:c r="C26" s="14" t="str">
        <x:v>HJA2016_Plate2</x:v>
      </x:c>
      <x:c r="D26" s="14" t="str">
        <x:v>Plate2</x:v>
      </x:c>
      <x:c r="E26" s="14" t="str">
        <x:v>S25</x:v>
      </x:c>
      <x:c r="F26" s="14" t="str">
        <x:v>165</x:v>
      </x:c>
      <x:c r="G26" s="14" t="str">
        <x:v>165</x:v>
      </x:c>
      <x:c r="H26" s="14" t="str">
        <x:v>Stream</x:v>
      </x:c>
      <x:c r="I26" s="14" t="str">
        <x:v>planktonic streamwater</x:v>
      </x:c>
      <x:c r="J26" s="14" t="str">
        <x:v>GSF2238-Lennon-Plate2-hja2016_042_S25_L001_R1_001.fastq.gz</x:v>
      </x:c>
      <x:c r="K26" s="14" t="str">
        <x:v>GSF2238-Lennon-Plate2-hja2016_042_S25_L001_R2_001.fastq.gz</x:v>
      </x:c>
      <x:c r="L26" s="14" t="str">
        <x:v>sequences/GSF2238-Lennon-Plate2-hja2016_042_S25_L001_R1_001.fastq.gz</x:v>
      </x:c>
      <x:c r="M26" s="14" t="str">
        <x:v>sequences/GSF2238-Lennon-Plate2-hja2016_042_S25_L001_R2_001.fastq.gz</x:v>
      </x:c>
      <x:c r="N26" s="14" t="str">
        <x:v>TRUE</x:v>
      </x:c>
      <x:c r="O26" s="14" t="str">
        <x:v>FALSE</x:v>
      </x:c>
      <x:c r="P26" s="14" t="str"/>
      <x:c r="Q26" s="14" t="str">
        <x:v>data/hja-env_data_clean.csv</x:v>
      </x:c>
      <x:c r="R26" s="14" t="str">
        <x:v>34</x:v>
      </x:c>
      <x:c r="S26" s="14" t="str">
        <x:v>MATCHED</x:v>
      </x:c>
      <x:c r="T26" s="14" t="str"/>
      <x:c r="U26" s="14" t="str"/>
      <x:c r="V26" s="14" t="str"/>
    </x:row>
    <x:row r="27" ht="20" customHeight="1">
      <x:c r="A27" s="14" t="str">
        <x:v>hja2016_043</x:v>
      </x:c>
      <x:c r="B27" s="14" t="str">
        <x:v>2016</x:v>
      </x:c>
      <x:c r="C27" s="14" t="str">
        <x:v>HJA2016_Plate2</x:v>
      </x:c>
      <x:c r="D27" s="14" t="str">
        <x:v>Plate2</x:v>
      </x:c>
      <x:c r="E27" s="14" t="str">
        <x:v>S26</x:v>
      </x:c>
      <x:c r="F27" s="14" t="str">
        <x:v>KC-2</x:v>
      </x:c>
      <x:c r="G27" s="14" t="str">
        <x:v>KC-2</x:v>
      </x:c>
      <x:c r="H27" s="14" t="str">
        <x:v>Hyporheic</x:v>
      </x:c>
      <x:c r="I27" s="14" t="str">
        <x:v>hyporheic water</x:v>
      </x:c>
      <x:c r="J27" s="14" t="str">
        <x:v>GSF2238-Lennon-Plate2-hja2016_043_S26_L001_R1_001.fastq.gz</x:v>
      </x:c>
      <x:c r="K27" s="14" t="str">
        <x:v>GSF2238-Lennon-Plate2-hja2016_043_S26_L001_R2_001.fastq.gz</x:v>
      </x:c>
      <x:c r="L27" s="14" t="str">
        <x:v>sequences/GSF2238-Lennon-Plate2-hja2016_043_S26_L001_R1_001.fastq.gz</x:v>
      </x:c>
      <x:c r="M27" s="14" t="str">
        <x:v>sequences/GSF2238-Lennon-Plate2-hja2016_043_S26_L001_R2_001.fastq.gz</x:v>
      </x:c>
      <x:c r="N27" s="14" t="str">
        <x:v>TRUE</x:v>
      </x:c>
      <x:c r="O27" s="14" t="str">
        <x:v>FALSE</x:v>
      </x:c>
      <x:c r="P27" s="14" t="str"/>
      <x:c r="Q27" s="14" t="str">
        <x:v>data/hja-env_data_clean.csv</x:v>
      </x:c>
      <x:c r="R27" s="14" t="str">
        <x:v>110</x:v>
      </x:c>
      <x:c r="S27" s="14" t="str">
        <x:v>MATCHED</x:v>
      </x:c>
      <x:c r="T27" s="14" t="str"/>
      <x:c r="U27" s="14" t="str"/>
      <x:c r="V27" s="14" t="str"/>
    </x:row>
    <x:row r="28" ht="20" customHeight="1">
      <x:c r="A28" s="14" t="str">
        <x:v>hja2016_044</x:v>
      </x:c>
      <x:c r="B28" s="14" t="str">
        <x:v>2016</x:v>
      </x:c>
      <x:c r="C28" s="14" t="str">
        <x:v>HJA2016_Plate2</x:v>
      </x:c>
      <x:c r="D28" s="14" t="str">
        <x:v>Plate2</x:v>
      </x:c>
      <x:c r="E28" s="14" t="str">
        <x:v>S27</x:v>
      </x:c>
      <x:c r="F28" s="14" t="str">
        <x:v>156</x:v>
      </x:c>
      <x:c r="G28" s="14" t="str">
        <x:v>156</x:v>
      </x:c>
      <x:c r="H28" s="14" t="str">
        <x:v>Stream</x:v>
      </x:c>
      <x:c r="I28" s="14" t="str">
        <x:v>planktonic streamwater</x:v>
      </x:c>
      <x:c r="J28" s="14" t="str">
        <x:v>GSF2238-Lennon-Plate2-hja2016_044_S27_L001_R1_001.fastq.gz</x:v>
      </x:c>
      <x:c r="K28" s="14" t="str">
        <x:v>GSF2238-Lennon-Plate2-hja2016_044_S27_L001_R2_001.fastq.gz</x:v>
      </x:c>
      <x:c r="L28" s="14" t="str">
        <x:v>sequences/GSF2238-Lennon-Plate2-hja2016_044_S27_L001_R1_001.fastq.gz</x:v>
      </x:c>
      <x:c r="M28" s="14" t="str">
        <x:v>sequences/GSF2238-Lennon-Plate2-hja2016_044_S27_L001_R2_001.fastq.gz</x:v>
      </x:c>
      <x:c r="N28" s="14" t="str">
        <x:v>TRUE</x:v>
      </x:c>
      <x:c r="O28" s="14" t="str">
        <x:v>FALSE</x:v>
      </x:c>
      <x:c r="P28" s="14" t="str"/>
      <x:c r="Q28" s="14" t="str">
        <x:v>data/hja-env_data_clean.csv</x:v>
      </x:c>
      <x:c r="R28" s="14" t="str">
        <x:v>28</x:v>
      </x:c>
      <x:c r="S28" s="14" t="str">
        <x:v>MATCHED</x:v>
      </x:c>
      <x:c r="T28" s="14" t="str"/>
      <x:c r="U28" s="14" t="str"/>
      <x:c r="V28" s="14" t="str"/>
    </x:row>
    <x:row r="29" ht="20" customHeight="1">
      <x:c r="A29" s="14" t="str">
        <x:v>hja2016_049</x:v>
      </x:c>
      <x:c r="B29" s="14" t="str">
        <x:v>2016</x:v>
      </x:c>
      <x:c r="C29" s="14" t="str">
        <x:v>HJA2016_Plate2</x:v>
      </x:c>
      <x:c r="D29" s="14" t="str">
        <x:v>Plate2</x:v>
      </x:c>
      <x:c r="E29" s="14" t="str">
        <x:v>S29</x:v>
      </x:c>
      <x:c r="F29" s="14" t="str">
        <x:v>67</x:v>
      </x:c>
      <x:c r="G29" s="14" t="str">
        <x:v>67</x:v>
      </x:c>
      <x:c r="H29" s="14" t="str">
        <x:v>Stream</x:v>
      </x:c>
      <x:c r="I29" s="14" t="str">
        <x:v>planktonic streamwater</x:v>
      </x:c>
      <x:c r="J29" s="14" t="str">
        <x:v>GSF2238-Lennon-Plate2-hja2016_049_S29_L001_R1_001.fastq.gz</x:v>
      </x:c>
      <x:c r="K29" s="14" t="str">
        <x:v>GSF2238-Lennon-Plate2-hja2016_049_S29_L001_R2_001.fastq.gz</x:v>
      </x:c>
      <x:c r="L29" s="14" t="str">
        <x:v>sequences/GSF2238-Lennon-Plate2-hja2016_049_S29_L001_R1_001.fastq.gz</x:v>
      </x:c>
      <x:c r="M29" s="14" t="str">
        <x:v>sequences/GSF2238-Lennon-Plate2-hja2016_049_S29_L001_R2_001.fastq.gz</x:v>
      </x:c>
      <x:c r="N29" s="14" t="str">
        <x:v>TRUE</x:v>
      </x:c>
      <x:c r="O29" s="14" t="str">
        <x:v>FALSE</x:v>
      </x:c>
      <x:c r="P29" s="14" t="str"/>
      <x:c r="Q29" s="14" t="str">
        <x:v>data/hja-env_data_clean.csv</x:v>
      </x:c>
      <x:c r="R29" s="14" t="str">
        <x:v>17</x:v>
      </x:c>
      <x:c r="S29" s="14" t="str">
        <x:v>MATCHED</x:v>
      </x:c>
      <x:c r="T29" s="14" t="str"/>
      <x:c r="U29" s="14" t="str"/>
      <x:c r="V29" s="14" t="str"/>
    </x:row>
    <x:row r="30" ht="20" customHeight="1">
      <x:c r="A30" s="14" t="str">
        <x:v>hja2016_050</x:v>
      </x:c>
      <x:c r="B30" s="14" t="str">
        <x:v>2016</x:v>
      </x:c>
      <x:c r="C30" s="14" t="str">
        <x:v>HJA2016_Plate2</x:v>
      </x:c>
      <x:c r="D30" s="14" t="str">
        <x:v>Plate2</x:v>
      </x:c>
      <x:c r="E30" s="14" t="str">
        <x:v>S30</x:v>
      </x:c>
      <x:c r="F30" s="14" t="str">
        <x:v>165</x:v>
      </x:c>
      <x:c r="G30" s="14" t="str">
        <x:v>165</x:v>
      </x:c>
      <x:c r="H30" s="14" t="str">
        <x:v>Hyporheic</x:v>
      </x:c>
      <x:c r="I30" s="14" t="str">
        <x:v>hyporheic water</x:v>
      </x:c>
      <x:c r="J30" s="14" t="str">
        <x:v>GSF2238-Lennon-Plate2-hja2016_050_S30_L001_R1_001.fastq.gz</x:v>
      </x:c>
      <x:c r="K30" s="14" t="str">
        <x:v>GSF2238-Lennon-Plate2-hja2016_050_S30_L001_R2_001.fastq.gz</x:v>
      </x:c>
      <x:c r="L30" s="14" t="str">
        <x:v>sequences/GSF2238-Lennon-Plate2-hja2016_050_S30_L001_R1_001.fastq.gz</x:v>
      </x:c>
      <x:c r="M30" s="14" t="str">
        <x:v>sequences/GSF2238-Lennon-Plate2-hja2016_050_S30_L001_R2_001.fastq.gz</x:v>
      </x:c>
      <x:c r="N30" s="14" t="str">
        <x:v>TRUE</x:v>
      </x:c>
      <x:c r="O30" s="14" t="str">
        <x:v>FALSE</x:v>
      </x:c>
      <x:c r="P30" s="14" t="str"/>
      <x:c r="Q30" s="14" t="str">
        <x:v>data/hja-env_data_clean.csv</x:v>
      </x:c>
      <x:c r="R30" s="14" t="str">
        <x:v>96</x:v>
      </x:c>
      <x:c r="S30" s="14" t="str">
        <x:v>MATCHED</x:v>
      </x:c>
      <x:c r="T30" s="14" t="str"/>
      <x:c r="U30" s="14" t="str"/>
      <x:c r="V30" s="14" t="str"/>
    </x:row>
    <x:row r="31" ht="20" customHeight="1">
      <x:c r="A31" s="14" t="str">
        <x:v>hja2016_052</x:v>
      </x:c>
      <x:c r="B31" s="14" t="str">
        <x:v>2016</x:v>
      </x:c>
      <x:c r="C31" s="14" t="str">
        <x:v>HJA2016_Plate2</x:v>
      </x:c>
      <x:c r="D31" s="14" t="str">
        <x:v>Plate2</x:v>
      </x:c>
      <x:c r="E31" s="14" t="str">
        <x:v>S31</x:v>
      </x:c>
      <x:c r="F31" s="14" t="str">
        <x:v>163</x:v>
      </x:c>
      <x:c r="G31" s="14" t="str">
        <x:v>163</x:v>
      </x:c>
      <x:c r="H31" s="14" t="str">
        <x:v>Hyporheic</x:v>
      </x:c>
      <x:c r="I31" s="14" t="str">
        <x:v>hyporheic water</x:v>
      </x:c>
      <x:c r="J31" s="14" t="str">
        <x:v>GSF2238-Lennon-Plate2-hja2016_052_S31_L001_R1_001.fastq.gz</x:v>
      </x:c>
      <x:c r="K31" s="14" t="str">
        <x:v>GSF2238-Lennon-Plate2-hja2016_052_S31_L001_R2_001.fastq.gz</x:v>
      </x:c>
      <x:c r="L31" s="14" t="str">
        <x:v>sequences/GSF2238-Lennon-Plate2-hja2016_052_S31_L001_R1_001.fastq.gz</x:v>
      </x:c>
      <x:c r="M31" s="14" t="str">
        <x:v>sequences/GSF2238-Lennon-Plate2-hja2016_052_S31_L001_R2_001.fastq.gz</x:v>
      </x:c>
      <x:c r="N31" s="14" t="str">
        <x:v>TRUE</x:v>
      </x:c>
      <x:c r="O31" s="14" t="str">
        <x:v>FALSE</x:v>
      </x:c>
      <x:c r="P31" s="14" t="str"/>
      <x:c r="Q31" s="14" t="str">
        <x:v>data/hja-env_data_clean.csv</x:v>
      </x:c>
      <x:c r="R31" s="14" t="str">
        <x:v>94</x:v>
      </x:c>
      <x:c r="S31" s="14" t="str">
        <x:v>MATCHED</x:v>
      </x:c>
      <x:c r="T31" s="14" t="str"/>
      <x:c r="U31" s="14" t="str"/>
      <x:c r="V31" s="14" t="str"/>
    </x:row>
    <x:row r="32" ht="20" customHeight="1">
      <x:c r="A32" s="14" t="str">
        <x:v>hja2016_056</x:v>
      </x:c>
      <x:c r="B32" s="14" t="str">
        <x:v>2016</x:v>
      </x:c>
      <x:c r="C32" s="14" t="str">
        <x:v>HJA2016_Plate2</x:v>
      </x:c>
      <x:c r="D32" s="14" t="str">
        <x:v>Plate2</x:v>
      </x:c>
      <x:c r="E32" s="14" t="str">
        <x:v>S32</x:v>
      </x:c>
      <x:c r="F32" s="14" t="str">
        <x:v>KC-1</x:v>
      </x:c>
      <x:c r="G32" s="14" t="str">
        <x:v>KC-1</x:v>
      </x:c>
      <x:c r="H32" s="14" t="str">
        <x:v>Hyporheic</x:v>
      </x:c>
      <x:c r="I32" s="14" t="str">
        <x:v>hyporheic water</x:v>
      </x:c>
      <x:c r="J32" s="14" t="str">
        <x:v>GSF2238-Lennon-Plate2-hja2016_056_S32_L001_R1_001.fastq.gz</x:v>
      </x:c>
      <x:c r="K32" s="14" t="str">
        <x:v>GSF2238-Lennon-Plate2-hja2016_056_S32_L001_R2_001.fastq.gz</x:v>
      </x:c>
      <x:c r="L32" s="14" t="str">
        <x:v>sequences/GSF2238-Lennon-Plate2-hja2016_056_S32_L001_R1_001.fastq.gz</x:v>
      </x:c>
      <x:c r="M32" s="14" t="str">
        <x:v>sequences/GSF2238-Lennon-Plate2-hja2016_056_S32_L001_R2_001.fastq.gz</x:v>
      </x:c>
      <x:c r="N32" s="14" t="str">
        <x:v>TRUE</x:v>
      </x:c>
      <x:c r="O32" s="14" t="str">
        <x:v>FALSE</x:v>
      </x:c>
      <x:c r="P32" s="14" t="str"/>
      <x:c r="Q32" s="14" t="str">
        <x:v>data/hja-env_data_clean.csv</x:v>
      </x:c>
      <x:c r="R32" s="14" t="str">
        <x:v>109</x:v>
      </x:c>
      <x:c r="S32" s="14" t="str">
        <x:v>MATCHED</x:v>
      </x:c>
      <x:c r="T32" s="14" t="str"/>
      <x:c r="U32" s="14" t="str"/>
      <x:c r="V32" s="14" t="str"/>
    </x:row>
    <x:row r="33" ht="20" customHeight="1">
      <x:c r="A33" s="14" t="str">
        <x:v>hja2016_057</x:v>
      </x:c>
      <x:c r="B33" s="14" t="str">
        <x:v>2016</x:v>
      </x:c>
      <x:c r="C33" s="14" t="str">
        <x:v>HJA2016_Plate2</x:v>
      </x:c>
      <x:c r="D33" s="14" t="str">
        <x:v>Plate2</x:v>
      </x:c>
      <x:c r="E33" s="14" t="str">
        <x:v>S33</x:v>
      </x:c>
      <x:c r="F33" s="14" t="str">
        <x:v>71</x:v>
      </x:c>
      <x:c r="G33" s="14" t="str">
        <x:v>71</x:v>
      </x:c>
      <x:c r="H33" s="14" t="str">
        <x:v>Hyporheic</x:v>
      </x:c>
      <x:c r="I33" s="14" t="str">
        <x:v>hyporheic water</x:v>
      </x:c>
      <x:c r="J33" s="14" t="str">
        <x:v>GSF2238-Lennon-Plate2-hja2016_057_S33_L001_R1_001.fastq.gz</x:v>
      </x:c>
      <x:c r="K33" s="14" t="str">
        <x:v>GSF2238-Lennon-Plate2-hja2016_057_S33_L001_R2_001.fastq.gz</x:v>
      </x:c>
      <x:c r="L33" s="14" t="str">
        <x:v>sequences/GSF2238-Lennon-Plate2-hja2016_057_S33_L001_R1_001.fastq.gz</x:v>
      </x:c>
      <x:c r="M33" s="14" t="str">
        <x:v>sequences/GSF2238-Lennon-Plate2-hja2016_057_S33_L001_R2_001.fastq.gz</x:v>
      </x:c>
      <x:c r="N33" s="14" t="str">
        <x:v>TRUE</x:v>
      </x:c>
      <x:c r="O33" s="14" t="str">
        <x:v>FALSE</x:v>
      </x:c>
      <x:c r="P33" s="14" t="str"/>
      <x:c r="Q33" s="14" t="str">
        <x:v>data/hja-env_data_clean.csv</x:v>
      </x:c>
      <x:c r="R33" s="14" t="str">
        <x:v>81</x:v>
      </x:c>
      <x:c r="S33" s="14" t="str">
        <x:v>MATCHED</x:v>
      </x:c>
      <x:c r="T33" s="14" t="str"/>
      <x:c r="U33" s="14" t="str"/>
      <x:c r="V33" s="14" t="str"/>
    </x:row>
    <x:row r="34" ht="20" customHeight="1">
      <x:c r="A34" s="14" t="str">
        <x:v>hja2016_059</x:v>
      </x:c>
      <x:c r="B34" s="14" t="str">
        <x:v>2016</x:v>
      </x:c>
      <x:c r="C34" s="14" t="str">
        <x:v>HJA2016_Plate2</x:v>
      </x:c>
      <x:c r="D34" s="14" t="str">
        <x:v>Plate2</x:v>
      </x:c>
      <x:c r="E34" s="14" t="str">
        <x:v>S34</x:v>
      </x:c>
      <x:c r="F34" s="14" t="str">
        <x:v>KC-2</x:v>
      </x:c>
      <x:c r="G34" s="14" t="str">
        <x:v>KC-2</x:v>
      </x:c>
      <x:c r="H34" s="14" t="str">
        <x:v>Stream</x:v>
      </x:c>
      <x:c r="I34" s="14" t="str">
        <x:v>planktonic streamwater</x:v>
      </x:c>
      <x:c r="J34" s="14" t="str">
        <x:v>GSF2238-Lennon-Plate2-hja2016_059_S34_L001_R1_001.fastq.gz</x:v>
      </x:c>
      <x:c r="K34" s="14" t="str">
        <x:v>GSF2238-Lennon-Plate2-hja2016_059_S34_L001_R2_001.fastq.gz</x:v>
      </x:c>
      <x:c r="L34" s="14" t="str">
        <x:v>sequences/GSF2238-Lennon-Plate2-hja2016_059_S34_L001_R1_001.fastq.gz</x:v>
      </x:c>
      <x:c r="M34" s="14" t="str">
        <x:v>sequences/GSF2238-Lennon-Plate2-hja2016_059_S34_L001_R2_001.fastq.gz</x:v>
      </x:c>
      <x:c r="N34" s="14" t="str">
        <x:v>TRUE</x:v>
      </x:c>
      <x:c r="O34" s="14" t="str">
        <x:v>FALSE</x:v>
      </x:c>
      <x:c r="P34" s="14" t="str"/>
      <x:c r="Q34" s="14" t="str">
        <x:v>data/hja-env_data_clean.csv</x:v>
      </x:c>
      <x:c r="R34" s="14" t="str">
        <x:v>48</x:v>
      </x:c>
      <x:c r="S34" s="14" t="str">
        <x:v>MATCHED</x:v>
      </x:c>
      <x:c r="T34" s="14" t="str"/>
      <x:c r="U34" s="14" t="str"/>
      <x:c r="V34" s="14" t="str"/>
    </x:row>
    <x:row r="35" ht="20" customHeight="1">
      <x:c r="A35" s="14" t="str">
        <x:v>hja2016_062</x:v>
      </x:c>
      <x:c r="B35" s="14" t="str">
        <x:v>2016</x:v>
      </x:c>
      <x:c r="C35" s="14" t="str">
        <x:v>HJA2016_Plate2</x:v>
      </x:c>
      <x:c r="D35" s="14" t="str">
        <x:v>Plate2</x:v>
      </x:c>
      <x:c r="E35" s="14" t="str">
        <x:v>S35</x:v>
      </x:c>
      <x:c r="F35" s="14" t="str">
        <x:v>WS3-3</x:v>
      </x:c>
      <x:c r="G35" s="14" t="str">
        <x:v>WS3-3</x:v>
      </x:c>
      <x:c r="H35" s="14" t="str">
        <x:v>Hyporheic</x:v>
      </x:c>
      <x:c r="I35" s="14" t="str">
        <x:v>hyporheic water</x:v>
      </x:c>
      <x:c r="J35" s="14" t="str">
        <x:v>GSF2238-Lennon-Plate2-hja2016_062_S35_L001_R1_001.fastq.gz</x:v>
      </x:c>
      <x:c r="K35" s="14" t="str">
        <x:v>GSF2238-Lennon-Plate2-hja2016_062_S35_L001_R2_001.fastq.gz</x:v>
      </x:c>
      <x:c r="L35" s="14" t="str">
        <x:v>sequences/GSF2238-Lennon-Plate2-hja2016_062_S35_L001_R1_001.fastq.gz</x:v>
      </x:c>
      <x:c r="M35" s="14" t="str">
        <x:v>sequences/GSF2238-Lennon-Plate2-hja2016_062_S35_L001_R2_001.fastq.gz</x:v>
      </x:c>
      <x:c r="N35" s="14" t="str">
        <x:v>TRUE</x:v>
      </x:c>
      <x:c r="O35" s="14" t="str">
        <x:v>FALSE</x:v>
      </x:c>
      <x:c r="P35" s="14" t="str"/>
      <x:c r="Q35" s="14" t="str">
        <x:v>data/hja-env_data_clean.csv</x:v>
      </x:c>
      <x:c r="R35" s="14" t="str">
        <x:v>122</x:v>
      </x:c>
      <x:c r="S35" s="14" t="str">
        <x:v>MATCHED</x:v>
      </x:c>
      <x:c r="T35" s="14" t="str"/>
      <x:c r="U35" s="14" t="str"/>
      <x:c r="V35" s="14" t="str"/>
    </x:row>
    <x:row r="36" ht="20" customHeight="1">
      <x:c r="A36" s="14" t="str">
        <x:v>hja2016_064</x:v>
      </x:c>
      <x:c r="B36" s="14" t="str">
        <x:v>2016</x:v>
      </x:c>
      <x:c r="C36" s="14" t="str">
        <x:v>HJA2016_Plate2</x:v>
      </x:c>
      <x:c r="D36" s="14" t="str">
        <x:v>Plate2</x:v>
      </x:c>
      <x:c r="E36" s="14" t="str">
        <x:v>S36</x:v>
      </x:c>
      <x:c r="F36" s="14" t="str">
        <x:v>WS3-4</x:v>
      </x:c>
      <x:c r="G36" s="14" t="str">
        <x:v>WS3-4</x:v>
      </x:c>
      <x:c r="H36" s="14" t="str">
        <x:v>Stream</x:v>
      </x:c>
      <x:c r="I36" s="14" t="str">
        <x:v>planktonic streamwater</x:v>
      </x:c>
      <x:c r="J36" s="14" t="str">
        <x:v>GSF2238-Lennon-Plate2-hja2016_064_S36_L001_R1_001.fastq.gz</x:v>
      </x:c>
      <x:c r="K36" s="14" t="str">
        <x:v>GSF2238-Lennon-Plate2-hja2016_064_S36_L001_R2_001.fastq.gz</x:v>
      </x:c>
      <x:c r="L36" s="14" t="str">
        <x:v>sequences/GSF2238-Lennon-Plate2-hja2016_064_S36_L001_R1_001.fastq.gz</x:v>
      </x:c>
      <x:c r="M36" s="14" t="str">
        <x:v>sequences/GSF2238-Lennon-Plate2-hja2016_064_S36_L001_R2_001.fastq.gz</x:v>
      </x:c>
      <x:c r="N36" s="14" t="str">
        <x:v>TRUE</x:v>
      </x:c>
      <x:c r="O36" s="14" t="str">
        <x:v>FALSE</x:v>
      </x:c>
      <x:c r="P36" s="14" t="str"/>
      <x:c r="Q36" s="14" t="str">
        <x:v>data/hja-env_data_clean.csv</x:v>
      </x:c>
      <x:c r="R36" s="14" t="str">
        <x:v>61</x:v>
      </x:c>
      <x:c r="S36" s="14" t="str">
        <x:v>MATCHED</x:v>
      </x:c>
      <x:c r="T36" s="14" t="str"/>
      <x:c r="U36" s="14" t="str"/>
      <x:c r="V36" s="14" t="str"/>
    </x:row>
    <x:row r="37" ht="20" customHeight="1">
      <x:c r="A37" s="14" t="str">
        <x:v>hja2016_065</x:v>
      </x:c>
      <x:c r="B37" s="14" t="str">
        <x:v>2016</x:v>
      </x:c>
      <x:c r="C37" s="14" t="str">
        <x:v>HJA2016_Plate1</x:v>
      </x:c>
      <x:c r="D37" s="14" t="str">
        <x:v>Plate1</x:v>
      </x:c>
      <x:c r="E37" s="14" t="str">
        <x:v>S46</x:v>
      </x:c>
      <x:c r="F37" s="14" t="str">
        <x:v>68</x:v>
      </x:c>
      <x:c r="G37" s="14" t="str">
        <x:v>68</x:v>
      </x:c>
      <x:c r="H37" s="14" t="str">
        <x:v>Hyporheic</x:v>
      </x:c>
      <x:c r="I37" s="14" t="str">
        <x:v>hyporheic water</x:v>
      </x:c>
      <x:c r="J37" s="14" t="str">
        <x:v>GSF2238-Lennon-Plate1-hja2016_065_S46_L001_R1_001.fastq.gz</x:v>
      </x:c>
      <x:c r="K37" s="14" t="str">
        <x:v>GSF2238-Lennon-Plate1-hja2016_065_S46_L001_R2_001.fastq.gz</x:v>
      </x:c>
      <x:c r="L37" s="14" t="str">
        <x:v>sequences/GSF2238-Lennon-Plate1-hja2016_065_S46_L001_R1_001.fastq.gz</x:v>
      </x:c>
      <x:c r="M37" s="14" t="str">
        <x:v>sequences/GSF2238-Lennon-Plate1-hja2016_065_S46_L001_R2_001.fastq.gz</x:v>
      </x:c>
      <x:c r="N37" s="14" t="str">
        <x:v>TRUE</x:v>
      </x:c>
      <x:c r="O37" s="14" t="str">
        <x:v>FALSE</x:v>
      </x:c>
      <x:c r="P37" s="14" t="str"/>
      <x:c r="Q37" s="14" t="str">
        <x:v>data/hja-env_data_clean.csv</x:v>
      </x:c>
      <x:c r="R37" s="14" t="str">
        <x:v>80</x:v>
      </x:c>
      <x:c r="S37" s="14" t="str">
        <x:v>MATCHED</x:v>
      </x:c>
      <x:c r="T37" s="14" t="str"/>
      <x:c r="U37" s="14" t="str"/>
      <x:c r="V37" s="14" t="str"/>
    </x:row>
    <x:row r="38" ht="20" customHeight="1">
      <x:c r="A38" s="14" t="str">
        <x:v>hja2016_066</x:v>
      </x:c>
      <x:c r="B38" s="14" t="str">
        <x:v>2016</x:v>
      </x:c>
      <x:c r="C38" s="14" t="str">
        <x:v>HJA2016_Plate1</x:v>
      </x:c>
      <x:c r="D38" s="14" t="str">
        <x:v>Plate1</x:v>
      </x:c>
      <x:c r="E38" s="14" t="str">
        <x:v>S47</x:v>
      </x:c>
      <x:c r="F38" s="14" t="str">
        <x:v>49</x:v>
      </x:c>
      <x:c r="G38" s="14" t="str">
        <x:v>49</x:v>
      </x:c>
      <x:c r="H38" s="14" t="str">
        <x:v>Hyporheic</x:v>
      </x:c>
      <x:c r="I38" s="14" t="str">
        <x:v>hyporheic water</x:v>
      </x:c>
      <x:c r="J38" s="14" t="str">
        <x:v>GSF2238-Lennon-Plate1-hja2016_066_S47_L001_R1_001.fastq.gz</x:v>
      </x:c>
      <x:c r="K38" s="14" t="str">
        <x:v>GSF2238-Lennon-Plate1-hja2016_066_S47_L001_R2_001.fastq.gz</x:v>
      </x:c>
      <x:c r="L38" s="14" t="str">
        <x:v>sequences/GSF2238-Lennon-Plate1-hja2016_066_S47_L001_R1_001.fastq.gz</x:v>
      </x:c>
      <x:c r="M38" s="14" t="str">
        <x:v>sequences/GSF2238-Lennon-Plate1-hja2016_066_S47_L001_R2_001.fastq.gz</x:v>
      </x:c>
      <x:c r="N38" s="14" t="str">
        <x:v>TRUE</x:v>
      </x:c>
      <x:c r="O38" s="14" t="str">
        <x:v>FALSE</x:v>
      </x:c>
      <x:c r="P38" s="14" t="str"/>
      <x:c r="Q38" s="14" t="str">
        <x:v>data/hja-env_data_clean.csv</x:v>
      </x:c>
      <x:c r="R38" s="14" t="str">
        <x:v>67</x:v>
      </x:c>
      <x:c r="S38" s="14" t="str">
        <x:v>MATCHED</x:v>
      </x:c>
      <x:c r="T38" s="14" t="str"/>
      <x:c r="U38" s="14" t="str"/>
      <x:c r="V38" s="14" t="str"/>
    </x:row>
    <x:row r="39" ht="20" customHeight="1">
      <x:c r="A39" s="14" t="str">
        <x:v>hja2016_070</x:v>
      </x:c>
      <x:c r="B39" s="14" t="str">
        <x:v>2016</x:v>
      </x:c>
      <x:c r="C39" s="14" t="str">
        <x:v>HJA2016_Plate1</x:v>
      </x:c>
      <x:c r="D39" s="14" t="str">
        <x:v>Plate1</x:v>
      </x:c>
      <x:c r="E39" s="14" t="str">
        <x:v>S48</x:v>
      </x:c>
      <x:c r="F39" s="14" t="str">
        <x:v>56</x:v>
      </x:c>
      <x:c r="G39" s="14" t="str">
        <x:v>56</x:v>
      </x:c>
      <x:c r="H39" s="14" t="str">
        <x:v>Hyporheic</x:v>
      </x:c>
      <x:c r="I39" s="14" t="str">
        <x:v>hyporheic water</x:v>
      </x:c>
      <x:c r="J39" s="14" t="str">
        <x:v>GSF2238-Lennon-Plate1-hja2016_070_S48_L001_R1_001.fastq.gz</x:v>
      </x:c>
      <x:c r="K39" s="14" t="str">
        <x:v>GSF2238-Lennon-Plate1-hja2016_070_S48_L001_R2_001.fastq.gz</x:v>
      </x:c>
      <x:c r="L39" s="14" t="str">
        <x:v>sequences/GSF2238-Lennon-Plate1-hja2016_070_S48_L001_R1_001.fastq.gz</x:v>
      </x:c>
      <x:c r="M39" s="14" t="str">
        <x:v>sequences/GSF2238-Lennon-Plate1-hja2016_070_S48_L001_R2_001.fastq.gz</x:v>
      </x:c>
      <x:c r="N39" s="14" t="str">
        <x:v>TRUE</x:v>
      </x:c>
      <x:c r="O39" s="14" t="str">
        <x:v>FALSE</x:v>
      </x:c>
      <x:c r="P39" s="14" t="str"/>
      <x:c r="Q39" s="14" t="str">
        <x:v>data/hja-env_data_clean.csv</x:v>
      </x:c>
      <x:c r="R39" s="14" t="str">
        <x:v>72</x:v>
      </x:c>
      <x:c r="S39" s="14" t="str">
        <x:v>MATCHED</x:v>
      </x:c>
      <x:c r="T39" s="14" t="str"/>
      <x:c r="U39" s="14" t="str"/>
      <x:c r="V39" s="14" t="str"/>
    </x:row>
    <x:row r="40" ht="20" customHeight="1">
      <x:c r="A40" s="14" t="str">
        <x:v>hja2016_071</x:v>
      </x:c>
      <x:c r="B40" s="14" t="str">
        <x:v>2016</x:v>
      </x:c>
      <x:c r="C40" s="14" t="str">
        <x:v>HJA2016_Plate1</x:v>
      </x:c>
      <x:c r="D40" s="14" t="str">
        <x:v>Plate1</x:v>
      </x:c>
      <x:c r="E40" s="14" t="str">
        <x:v>S49</x:v>
      </x:c>
      <x:c r="F40" s="14" t="str">
        <x:v>164</x:v>
      </x:c>
      <x:c r="G40" s="14" t="str">
        <x:v>164</x:v>
      </x:c>
      <x:c r="H40" s="14" t="str">
        <x:v>Hyporheic</x:v>
      </x:c>
      <x:c r="I40" s="14" t="str">
        <x:v>hyporheic water</x:v>
      </x:c>
      <x:c r="J40" s="14" t="str">
        <x:v>GSF2238-Lennon-Plate1-hja2016_071_S49_L001_R1_001.fastq.gz</x:v>
      </x:c>
      <x:c r="K40" s="14" t="str">
        <x:v>GSF2238-Lennon-Plate1-hja2016_071_S49_L001_R2_001.fastq.gz</x:v>
      </x:c>
      <x:c r="L40" s="14" t="str">
        <x:v>sequences/GSF2238-Lennon-Plate1-hja2016_071_S49_L001_R1_001.fastq.gz</x:v>
      </x:c>
      <x:c r="M40" s="14" t="str">
        <x:v>sequences/GSF2238-Lennon-Plate1-hja2016_071_S49_L001_R2_001.fastq.gz</x:v>
      </x:c>
      <x:c r="N40" s="14" t="str">
        <x:v>TRUE</x:v>
      </x:c>
      <x:c r="O40" s="14" t="str">
        <x:v>FALSE</x:v>
      </x:c>
      <x:c r="P40" s="14" t="str"/>
      <x:c r="Q40" s="14" t="str">
        <x:v>data/hja-env_data_clean.csv</x:v>
      </x:c>
      <x:c r="R40" s="14" t="str">
        <x:v>95</x:v>
      </x:c>
      <x:c r="S40" s="14" t="str">
        <x:v>MATCHED</x:v>
      </x:c>
      <x:c r="T40" s="14" t="str"/>
      <x:c r="U40" s="14" t="str"/>
      <x:c r="V40" s="14" t="str"/>
    </x:row>
    <x:row r="41" ht="20" customHeight="1">
      <x:c r="A41" s="14" t="str">
        <x:v>hja2016_075</x:v>
      </x:c>
      <x:c r="B41" s="14" t="str">
        <x:v>2016</x:v>
      </x:c>
      <x:c r="C41" s="14" t="str">
        <x:v>HJA2016_Plate1</x:v>
      </x:c>
      <x:c r="D41" s="14" t="str">
        <x:v>Plate1</x:v>
      </x:c>
      <x:c r="E41" s="14" t="str">
        <x:v>S50</x:v>
      </x:c>
      <x:c r="F41" s="14" t="str">
        <x:v>260</x:v>
      </x:c>
      <x:c r="G41" s="14" t="str">
        <x:v>260</x:v>
      </x:c>
      <x:c r="H41" s="14" t="str">
        <x:v>Hyporheic</x:v>
      </x:c>
      <x:c r="I41" s="14" t="str">
        <x:v>hyporheic water</x:v>
      </x:c>
      <x:c r="J41" s="14" t="str">
        <x:v>GSF2238-Lennon-Plate1-hja2016_075_S50_L001_R1_001.fastq.gz</x:v>
      </x:c>
      <x:c r="K41" s="14" t="str">
        <x:v>GSF2238-Lennon-Plate1-hja2016_075_S50_L001_R2_001.fastq.gz</x:v>
      </x:c>
      <x:c r="L41" s="14" t="str">
        <x:v>sequences/GSF2238-Lennon-Plate1-hja2016_075_S50_L001_R1_001.fastq.gz</x:v>
      </x:c>
      <x:c r="M41" s="14" t="str">
        <x:v>sequences/GSF2238-Lennon-Plate1-hja2016_075_S50_L001_R2_001.fastq.gz</x:v>
      </x:c>
      <x:c r="N41" s="14" t="str">
        <x:v>TRUE</x:v>
      </x:c>
      <x:c r="O41" s="14" t="str">
        <x:v>FALSE</x:v>
      </x:c>
      <x:c r="P41" s="14" t="str"/>
      <x:c r="Q41" s="14" t="str">
        <x:v>data/hja-env_data_clean.csv</x:v>
      </x:c>
      <x:c r="R41" s="14" t="str">
        <x:v>103</x:v>
      </x:c>
      <x:c r="S41" s="14" t="str">
        <x:v>MATCHED</x:v>
      </x:c>
      <x:c r="T41" s="14" t="str"/>
      <x:c r="U41" s="14" t="str"/>
      <x:c r="V41" s="14" t="str"/>
    </x:row>
    <x:row r="42" ht="20" customHeight="1">
      <x:c r="A42" s="14" t="str">
        <x:v>hja2016_078</x:v>
      </x:c>
      <x:c r="B42" s="14" t="str">
        <x:v>2016</x:v>
      </x:c>
      <x:c r="C42" s="14" t="str">
        <x:v>HJA2016_Plate1</x:v>
      </x:c>
      <x:c r="D42" s="14" t="str">
        <x:v>Plate1</x:v>
      </x:c>
      <x:c r="E42" s="14" t="str">
        <x:v>S51</x:v>
      </x:c>
      <x:c r="F42" s="14" t="str">
        <x:v>CC-1</x:v>
      </x:c>
      <x:c r="G42" s="14" t="str">
        <x:v>CC-1</x:v>
      </x:c>
      <x:c r="H42" s="14" t="str">
        <x:v>Hyporheic</x:v>
      </x:c>
      <x:c r="I42" s="14" t="str">
        <x:v>hyporheic water</x:v>
      </x:c>
      <x:c r="J42" s="14" t="str">
        <x:v>GSF2238-Lennon-Plate1-hja2016_078_S51_L001_R1_001.fastq.gz</x:v>
      </x:c>
      <x:c r="K42" s="14" t="str">
        <x:v>GSF2238-Lennon-Plate1-hja2016_078_S51_L001_R2_001.fastq.gz</x:v>
      </x:c>
      <x:c r="L42" s="14" t="str">
        <x:v>sequences/GSF2238-Lennon-Plate1-hja2016_078_S51_L001_R1_001.fastq.gz</x:v>
      </x:c>
      <x:c r="M42" s="14" t="str">
        <x:v>sequences/GSF2238-Lennon-Plate1-hja2016_078_S51_L001_R2_001.fastq.gz</x:v>
      </x:c>
      <x:c r="N42" s="14" t="str">
        <x:v>TRUE</x:v>
      </x:c>
      <x:c r="O42" s="14" t="str">
        <x:v>FALSE</x:v>
      </x:c>
      <x:c r="P42" s="14" t="str"/>
      <x:c r="Q42" s="14" t="str">
        <x:v>data/hja-env_data_clean.csv</x:v>
      </x:c>
      <x:c r="R42" s="14" t="str">
        <x:v>105</x:v>
      </x:c>
      <x:c r="S42" s="14" t="str">
        <x:v>MATCHED</x:v>
      </x:c>
      <x:c r="T42" s="14" t="str"/>
      <x:c r="U42" s="14" t="str"/>
      <x:c r="V42" s="14" t="str"/>
    </x:row>
    <x:row r="43" ht="20" customHeight="1">
      <x:c r="A43" s="14" t="str">
        <x:v>hja2016_079</x:v>
      </x:c>
      <x:c r="B43" s="14" t="str">
        <x:v>2016</x:v>
      </x:c>
      <x:c r="C43" s="14" t="str">
        <x:v>HJA2016_Plate1</x:v>
      </x:c>
      <x:c r="D43" s="14" t="str">
        <x:v>Plate1</x:v>
      </x:c>
      <x:c r="E43" s="14" t="str">
        <x:v>S52</x:v>
      </x:c>
      <x:c r="F43" s="14" t="str">
        <x:v>64</x:v>
      </x:c>
      <x:c r="G43" s="14" t="str">
        <x:v>64</x:v>
      </x:c>
      <x:c r="H43" s="14" t="str">
        <x:v>Hyporheic</x:v>
      </x:c>
      <x:c r="I43" s="14" t="str">
        <x:v>hyporheic water</x:v>
      </x:c>
      <x:c r="J43" s="14" t="str">
        <x:v>GSF2238-Lennon-Plate1-hja2016_079_S52_L001_R1_001.fastq.gz</x:v>
      </x:c>
      <x:c r="K43" s="14" t="str">
        <x:v>GSF2238-Lennon-Plate1-hja2016_079_S52_L001_R2_001.fastq.gz</x:v>
      </x:c>
      <x:c r="L43" s="14" t="str">
        <x:v>sequences/GSF2238-Lennon-Plate1-hja2016_079_S52_L001_R1_001.fastq.gz</x:v>
      </x:c>
      <x:c r="M43" s="14" t="str">
        <x:v>sequences/GSF2238-Lennon-Plate1-hja2016_079_S52_L001_R2_001.fastq.gz</x:v>
      </x:c>
      <x:c r="N43" s="14" t="str">
        <x:v>TRUE</x:v>
      </x:c>
      <x:c r="O43" s="14" t="str">
        <x:v>FALSE</x:v>
      </x:c>
      <x:c r="P43" s="14" t="str"/>
      <x:c r="Q43" s="14" t="str">
        <x:v>data/hja-env_data_clean.csv</x:v>
      </x:c>
      <x:c r="R43" s="14" t="str">
        <x:v>76</x:v>
      </x:c>
      <x:c r="S43" s="14" t="str">
        <x:v>MATCHED</x:v>
      </x:c>
      <x:c r="T43" s="14" t="str"/>
      <x:c r="U43" s="14" t="str"/>
      <x:c r="V43" s="14" t="str"/>
    </x:row>
    <x:row r="44" ht="20" customHeight="1">
      <x:c r="A44" s="14" t="str">
        <x:v>hja2016_080</x:v>
      </x:c>
      <x:c r="B44" s="14" t="str">
        <x:v>2016</x:v>
      </x:c>
      <x:c r="C44" s="14" t="str">
        <x:v>HJA2016_Plate1</x:v>
      </x:c>
      <x:c r="D44" s="14" t="str">
        <x:v>Plate1</x:v>
      </x:c>
      <x:c r="E44" s="14" t="str">
        <x:v>S53</x:v>
      </x:c>
      <x:c r="F44" s="14" t="str">
        <x:v>360</x:v>
      </x:c>
      <x:c r="G44" s="14" t="str">
        <x:v>360</x:v>
      </x:c>
      <x:c r="H44" s="14" t="str">
        <x:v>Hyporheic</x:v>
      </x:c>
      <x:c r="I44" s="14" t="str">
        <x:v>hyporheic water</x:v>
      </x:c>
      <x:c r="J44" s="14" t="str">
        <x:v>GSF2238-Lennon-Plate1-hja2016_080_S53_L001_R1_001.fastq.gz</x:v>
      </x:c>
      <x:c r="K44" s="14" t="str">
        <x:v>GSF2238-Lennon-Plate1-hja2016_080_S53_L001_R2_001.fastq.gz</x:v>
      </x:c>
      <x:c r="L44" s="14" t="str">
        <x:v>sequences/GSF2238-Lennon-Plate1-hja2016_080_S53_L001_R1_001.fastq.gz</x:v>
      </x:c>
      <x:c r="M44" s="14" t="str">
        <x:v>sequences/GSF2238-Lennon-Plate1-hja2016_080_S53_L001_R2_001.fastq.gz</x:v>
      </x:c>
      <x:c r="N44" s="14" t="str">
        <x:v>TRUE</x:v>
      </x:c>
      <x:c r="O44" s="14" t="str">
        <x:v>FALSE</x:v>
      </x:c>
      <x:c r="P44" s="14" t="str"/>
      <x:c r="Q44" s="14" t="str">
        <x:v>data/hja-env_data_clean.csv</x:v>
      </x:c>
      <x:c r="R44" s="14" t="str">
        <x:v>104</x:v>
      </x:c>
      <x:c r="S44" s="14" t="str">
        <x:v>MATCHED</x:v>
      </x:c>
      <x:c r="T44" s="14" t="str"/>
      <x:c r="U44" s="14" t="str"/>
      <x:c r="V44" s="14" t="str"/>
    </x:row>
    <x:row r="45" ht="20" customHeight="1">
      <x:c r="A45" s="14" t="str">
        <x:v>hja2016_081</x:v>
      </x:c>
      <x:c r="B45" s="14" t="str">
        <x:v>2016</x:v>
      </x:c>
      <x:c r="C45" s="14" t="str">
        <x:v>HJA2016_Plate1</x:v>
      </x:c>
      <x:c r="D45" s="14" t="str">
        <x:v>Plate1</x:v>
      </x:c>
      <x:c r="E45" s="14" t="str">
        <x:v>S54</x:v>
      </x:c>
      <x:c r="F45" s="14" t="str">
        <x:v>160</x:v>
      </x:c>
      <x:c r="G45" s="14" t="str">
        <x:v>160</x:v>
      </x:c>
      <x:c r="H45" s="14" t="str">
        <x:v>Hyporheic</x:v>
      </x:c>
      <x:c r="I45" s="14" t="str">
        <x:v>hyporheic water</x:v>
      </x:c>
      <x:c r="J45" s="14" t="str">
        <x:v>GSF2238-Lennon-Plate1-hja2016_081_S54_L001_R1_001.fastq.gz</x:v>
      </x:c>
      <x:c r="K45" s="14" t="str">
        <x:v>GSF2238-Lennon-Plate1-hja2016_081_S54_L001_R2_001.fastq.gz</x:v>
      </x:c>
      <x:c r="L45" s="14" t="str">
        <x:v>sequences/GSF2238-Lennon-Plate1-hja2016_081_S54_L001_R1_001.fastq.gz</x:v>
      </x:c>
      <x:c r="M45" s="14" t="str">
        <x:v>sequences/GSF2238-Lennon-Plate1-hja2016_081_S54_L001_R2_001.fastq.gz</x:v>
      </x:c>
      <x:c r="N45" s="14" t="str">
        <x:v>TRUE</x:v>
      </x:c>
      <x:c r="O45" s="14" t="str">
        <x:v>FALSE</x:v>
      </x:c>
      <x:c r="P45" s="14" t="str"/>
      <x:c r="Q45" s="14" t="str">
        <x:v>data/hja-env_data_clean.csv</x:v>
      </x:c>
      <x:c r="R45" s="14" t="str">
        <x:v>91</x:v>
      </x:c>
      <x:c r="S45" s="14" t="str">
        <x:v>MATCHED</x:v>
      </x:c>
      <x:c r="T45" s="14" t="str"/>
      <x:c r="U45" s="14" t="str"/>
      <x:c r="V45" s="14" t="str"/>
    </x:row>
    <x:row r="46" ht="20" customHeight="1">
      <x:c r="A46" s="14" t="str">
        <x:v>hja2016_084</x:v>
      </x:c>
      <x:c r="B46" s="14" t="str">
        <x:v>2016</x:v>
      </x:c>
      <x:c r="C46" s="14" t="str">
        <x:v>HJA2016_Plate1</x:v>
      </x:c>
      <x:c r="D46" s="14" t="str">
        <x:v>Plate1</x:v>
      </x:c>
      <x:c r="E46" s="14" t="str">
        <x:v>S55</x:v>
      </x:c>
      <x:c r="F46" s="14" t="str">
        <x:v>177</x:v>
      </x:c>
      <x:c r="G46" s="14" t="str">
        <x:v>177</x:v>
      </x:c>
      <x:c r="H46" s="14" t="str">
        <x:v>Hyporheic</x:v>
      </x:c>
      <x:c r="I46" s="14" t="str">
        <x:v>hyporheic water</x:v>
      </x:c>
      <x:c r="J46" s="14" t="str">
        <x:v>GSF2238-Lennon-Plate1-hja2016_084_S55_L001_R1_001.fastq.gz</x:v>
      </x:c>
      <x:c r="K46" s="14" t="str">
        <x:v>GSF2238-Lennon-Plate1-hja2016_084_S55_L001_R2_001.fastq.gz</x:v>
      </x:c>
      <x:c r="L46" s="14" t="str">
        <x:v>sequences/GSF2238-Lennon-Plate1-hja2016_084_S55_L001_R1_001.fastq.gz</x:v>
      </x:c>
      <x:c r="M46" s="14" t="str">
        <x:v>sequences/GSF2238-Lennon-Plate1-hja2016_084_S55_L001_R2_001.fastq.gz</x:v>
      </x:c>
      <x:c r="N46" s="14" t="str">
        <x:v>TRUE</x:v>
      </x:c>
      <x:c r="O46" s="14" t="str">
        <x:v>FALSE</x:v>
      </x:c>
      <x:c r="P46" s="14" t="str"/>
      <x:c r="Q46" s="14" t="str">
        <x:v>data/hja-env_data_clean.csv</x:v>
      </x:c>
      <x:c r="R46" s="14" t="str">
        <x:v>99</x:v>
      </x:c>
      <x:c r="S46" s="14" t="str">
        <x:v>MATCHED</x:v>
      </x:c>
      <x:c r="T46" s="14" t="str"/>
      <x:c r="U46" s="14" t="str"/>
      <x:c r="V46" s="14" t="str"/>
    </x:row>
    <x:row r="47" ht="20" customHeight="1">
      <x:c r="A47" s="14" t="str">
        <x:v>hja2016_099</x:v>
      </x:c>
      <x:c r="B47" s="14" t="str">
        <x:v>2016</x:v>
      </x:c>
      <x:c r="C47" s="14" t="str">
        <x:v>HJA2016_Plate2</x:v>
      </x:c>
      <x:c r="D47" s="14" t="str">
        <x:v>Plate2</x:v>
      </x:c>
      <x:c r="E47" s="14" t="str">
        <x:v>S1</x:v>
      </x:c>
      <x:c r="F47" s="14" t="str">
        <x:v>162</x:v>
      </x:c>
      <x:c r="G47" s="14" t="str">
        <x:v>162</x:v>
      </x:c>
      <x:c r="H47" s="14" t="str">
        <x:v>Stream</x:v>
      </x:c>
      <x:c r="I47" s="14" t="str">
        <x:v>planktonic streamwater</x:v>
      </x:c>
      <x:c r="J47" s="14" t="str">
        <x:v>GSF2238-Lennon-Plate2-hja2016_099_S1_L001_R1_001.fastq.gz</x:v>
      </x:c>
      <x:c r="K47" s="14" t="str">
        <x:v>GSF2238-Lennon-Plate2-hja2016_099_S1_L001_R2_001.fastq.gz</x:v>
      </x:c>
      <x:c r="L47" s="14" t="str">
        <x:v>sequences/GSF2238-Lennon-Plate2-hja2016_099_S1_L001_R1_001.fastq.gz</x:v>
      </x:c>
      <x:c r="M47" s="14" t="str">
        <x:v>sequences/GSF2238-Lennon-Plate2-hja2016_099_S1_L001_R2_001.fastq.gz</x:v>
      </x:c>
      <x:c r="N47" s="14" t="str">
        <x:v>TRUE</x:v>
      </x:c>
      <x:c r="O47" s="14" t="str">
        <x:v>FALSE</x:v>
      </x:c>
      <x:c r="P47" s="14" t="str"/>
      <x:c r="Q47" s="14" t="str">
        <x:v>data/hja-env_data_clean.csv</x:v>
      </x:c>
      <x:c r="R47" s="14" t="str">
        <x:v>31</x:v>
      </x:c>
      <x:c r="S47" s="14" t="str">
        <x:v>MATCHED</x:v>
      </x:c>
      <x:c r="T47" s="14" t="str"/>
      <x:c r="U47" s="14" t="str"/>
      <x:c r="V47" s="14" t="str"/>
    </x:row>
    <x:row r="48" ht="20" customHeight="1">
      <x:c r="A48" s="14" t="str">
        <x:v>hja2016_100</x:v>
      </x:c>
      <x:c r="B48" s="14" t="str">
        <x:v>2016</x:v>
      </x:c>
      <x:c r="C48" s="14" t="str">
        <x:v>HJA2016_Plate2</x:v>
      </x:c>
      <x:c r="D48" s="14" t="str">
        <x:v>Plate2</x:v>
      </x:c>
      <x:c r="E48" s="14" t="str">
        <x:v>S2</x:v>
      </x:c>
      <x:c r="F48" s="14" t="str">
        <x:v>64</x:v>
      </x:c>
      <x:c r="G48" s="14" t="str">
        <x:v>64</x:v>
      </x:c>
      <x:c r="H48" s="14" t="str">
        <x:v>Stream</x:v>
      </x:c>
      <x:c r="I48" s="14" t="str">
        <x:v>planktonic streamwater</x:v>
      </x:c>
      <x:c r="J48" s="14" t="str">
        <x:v>GSF2238-Lennon-Plate2-hja2016_100_S2_L001_R1_001.fastq.gz</x:v>
      </x:c>
      <x:c r="K48" s="14" t="str">
        <x:v>GSF2238-Lennon-Plate2-hja2016_100_S2_L001_R2_001.fastq.gz</x:v>
      </x:c>
      <x:c r="L48" s="14" t="str">
        <x:v>sequences/GSF2238-Lennon-Plate2-hja2016_100_S2_L001_R1_001.fastq.gz</x:v>
      </x:c>
      <x:c r="M48" s="14" t="str">
        <x:v>sequences/GSF2238-Lennon-Plate2-hja2016_100_S2_L001_R2_001.fastq.gz</x:v>
      </x:c>
      <x:c r="N48" s="14" t="str">
        <x:v>TRUE</x:v>
      </x:c>
      <x:c r="O48" s="14" t="str">
        <x:v>FALSE</x:v>
      </x:c>
      <x:c r="P48" s="14" t="str"/>
      <x:c r="Q48" s="14" t="str">
        <x:v>data/hja-env_data_clean.csv</x:v>
      </x:c>
      <x:c r="R48" s="14" t="str">
        <x:v>14</x:v>
      </x:c>
      <x:c r="S48" s="14" t="str">
        <x:v>MATCHED</x:v>
      </x:c>
      <x:c r="T48" s="14" t="str"/>
      <x:c r="U48" s="14" t="str"/>
      <x:c r="V48" s="14" t="str"/>
    </x:row>
    <x:row r="49" ht="20" customHeight="1">
      <x:c r="A49" s="14" t="str">
        <x:v>hja2016_101</x:v>
      </x:c>
      <x:c r="B49" s="14" t="str">
        <x:v>2016</x:v>
      </x:c>
      <x:c r="C49" s="14" t="str">
        <x:v>HJA2016_Plate2</x:v>
      </x:c>
      <x:c r="D49" s="14" t="str">
        <x:v>Plate2</x:v>
      </x:c>
      <x:c r="E49" s="14" t="str">
        <x:v>S3</x:v>
      </x:c>
      <x:c r="F49" s="14" t="str">
        <x:v>58</x:v>
      </x:c>
      <x:c r="G49" s="14" t="str">
        <x:v>58</x:v>
      </x:c>
      <x:c r="H49" s="14" t="str">
        <x:v>Stream</x:v>
      </x:c>
      <x:c r="I49" s="14" t="str">
        <x:v>planktonic streamwater</x:v>
      </x:c>
      <x:c r="J49" s="14" t="str">
        <x:v>GSF2238-Lennon-Plate2-hja2016_101_S3_L001_R1_001.fastq.gz</x:v>
      </x:c>
      <x:c r="K49" s="14" t="str">
        <x:v>GSF2238-Lennon-Plate2-hja2016_101_S3_L001_R2_001.fastq.gz</x:v>
      </x:c>
      <x:c r="L49" s="14" t="str">
        <x:v>sequences/GSF2238-Lennon-Plate2-hja2016_101_S3_L001_R1_001.fastq.gz</x:v>
      </x:c>
      <x:c r="M49" s="14" t="str">
        <x:v>sequences/GSF2238-Lennon-Plate2-hja2016_101_S3_L001_R2_001.fastq.gz</x:v>
      </x:c>
      <x:c r="N49" s="14" t="str">
        <x:v>TRUE</x:v>
      </x:c>
      <x:c r="O49" s="14" t="str">
        <x:v>FALSE</x:v>
      </x:c>
      <x:c r="P49" s="14" t="str"/>
      <x:c r="Q49" s="14" t="str">
        <x:v>data/hja-env_data_clean.csv</x:v>
      </x:c>
      <x:c r="R49" s="14" t="str">
        <x:v>12</x:v>
      </x:c>
      <x:c r="S49" s="14" t="str">
        <x:v>MATCHED</x:v>
      </x:c>
      <x:c r="T49" s="14" t="str"/>
      <x:c r="U49" s="14" t="str"/>
      <x:c r="V49" s="14" t="str"/>
    </x:row>
    <x:row r="50" ht="20" customHeight="1">
      <x:c r="A50" s="14" t="str">
        <x:v>hja2016_102</x:v>
      </x:c>
      <x:c r="B50" s="14" t="str">
        <x:v>2016</x:v>
      </x:c>
      <x:c r="C50" s="14" t="str">
        <x:v>HJA2016_Plate2</x:v>
      </x:c>
      <x:c r="D50" s="14" t="str">
        <x:v>Plate2</x:v>
      </x:c>
      <x:c r="E50" s="14" t="str">
        <x:v>S4</x:v>
      </x:c>
      <x:c r="F50" s="14" t="str">
        <x:v>73</x:v>
      </x:c>
      <x:c r="G50" s="14" t="str">
        <x:v>73</x:v>
      </x:c>
      <x:c r="H50" s="14" t="str">
        <x:v>Hyporheic</x:v>
      </x:c>
      <x:c r="I50" s="14" t="str">
        <x:v>hyporheic water</x:v>
      </x:c>
      <x:c r="J50" s="14" t="str">
        <x:v>GSF2238-Lennon-Plate2-hja2016_102_S4_L001_R1_001.fastq.gz</x:v>
      </x:c>
      <x:c r="K50" s="14" t="str">
        <x:v>GSF2238-Lennon-Plate2-hja2016_102_S4_L001_R2_001.fastq.gz</x:v>
      </x:c>
      <x:c r="L50" s="14" t="str">
        <x:v>sequences/GSF2238-Lennon-Plate2-hja2016_102_S4_L001_R1_001.fastq.gz</x:v>
      </x:c>
      <x:c r="M50" s="14" t="str">
        <x:v>sequences/GSF2238-Lennon-Plate2-hja2016_102_S4_L001_R2_001.fastq.gz</x:v>
      </x:c>
      <x:c r="N50" s="14" t="str">
        <x:v>TRUE</x:v>
      </x:c>
      <x:c r="O50" s="14" t="str">
        <x:v>FALSE</x:v>
      </x:c>
      <x:c r="P50" s="14" t="str"/>
      <x:c r="Q50" s="14" t="str">
        <x:v>data/hja-env_data_clean.csv</x:v>
      </x:c>
      <x:c r="R50" s="14" t="str">
        <x:v>83</x:v>
      </x:c>
      <x:c r="S50" s="14" t="str">
        <x:v>MATCHED</x:v>
      </x:c>
      <x:c r="T50" s="14" t="str"/>
      <x:c r="U50" s="14" t="str"/>
      <x:c r="V50" s="14" t="str"/>
    </x:row>
    <x:row r="51" ht="20" customHeight="1">
      <x:c r="A51" s="14" t="str">
        <x:v>hja2016_103</x:v>
      </x:c>
      <x:c r="B51" s="14" t="str">
        <x:v>2016</x:v>
      </x:c>
      <x:c r="C51" s="14" t="str">
        <x:v>HJA2016_Plate2</x:v>
      </x:c>
      <x:c r="D51" s="14" t="str">
        <x:v>Plate2</x:v>
      </x:c>
      <x:c r="E51" s="14" t="str">
        <x:v>S5</x:v>
      </x:c>
      <x:c r="F51" s="14" t="str">
        <x:v>260</x:v>
      </x:c>
      <x:c r="G51" s="14" t="str">
        <x:v>260</x:v>
      </x:c>
      <x:c r="H51" s="14" t="str">
        <x:v>Stream</x:v>
      </x:c>
      <x:c r="I51" s="14" t="str">
        <x:v>planktonic streamwater</x:v>
      </x:c>
      <x:c r="J51" s="14" t="str">
        <x:v>GSF2238-Lennon-Plate2-hja2016_103_S5_L001_R1_001.fastq.gz</x:v>
      </x:c>
      <x:c r="K51" s="14" t="str">
        <x:v>GSF2238-Lennon-Plate2-hja2016_103_S5_L001_R2_001.fastq.gz</x:v>
      </x:c>
      <x:c r="L51" s="14" t="str">
        <x:v>sequences/GSF2238-Lennon-Plate2-hja2016_103_S5_L001_R1_001.fastq.gz</x:v>
      </x:c>
      <x:c r="M51" s="14" t="str">
        <x:v>sequences/GSF2238-Lennon-Plate2-hja2016_103_S5_L001_R2_001.fastq.gz</x:v>
      </x:c>
      <x:c r="N51" s="14" t="str">
        <x:v>TRUE</x:v>
      </x:c>
      <x:c r="O51" s="14" t="str">
        <x:v>FALSE</x:v>
      </x:c>
      <x:c r="P51" s="14" t="str"/>
      <x:c r="Q51" s="14" t="str">
        <x:v>data/hja-env_data_clean.csv</x:v>
      </x:c>
      <x:c r="R51" s="14" t="str">
        <x:v>41</x:v>
      </x:c>
      <x:c r="S51" s="14" t="str">
        <x:v>MATCHED</x:v>
      </x:c>
      <x:c r="T51" s="14" t="str"/>
      <x:c r="U51" s="14" t="str"/>
      <x:c r="V51" s="14" t="str"/>
    </x:row>
    <x:row r="52" ht="20" customHeight="1">
      <x:c r="A52" s="14" t="str">
        <x:v>hja2016_105</x:v>
      </x:c>
      <x:c r="B52" s="14" t="str">
        <x:v>2016</x:v>
      </x:c>
      <x:c r="C52" s="14" t="str">
        <x:v>HJA2016_Plate2</x:v>
      </x:c>
      <x:c r="D52" s="14" t="str">
        <x:v>Plate2</x:v>
      </x:c>
      <x:c r="E52" s="14" t="str">
        <x:v>S6</x:v>
      </x:c>
      <x:c r="F52" s="14" t="str">
        <x:v>178</x:v>
      </x:c>
      <x:c r="G52" s="14" t="str">
        <x:v>178</x:v>
      </x:c>
      <x:c r="H52" s="14" t="str">
        <x:v>Stream</x:v>
      </x:c>
      <x:c r="I52" s="14" t="str">
        <x:v>planktonic streamwater</x:v>
      </x:c>
      <x:c r="J52" s="14" t="str">
        <x:v>GSF2238-Lennon-Plate2-hja2016_105_S6_L001_R1_001.fastq.gz</x:v>
      </x:c>
      <x:c r="K52" s="14" t="str">
        <x:v>GSF2238-Lennon-Plate2-hja2016_105_S6_L001_R2_001.fastq.gz</x:v>
      </x:c>
      <x:c r="L52" s="14" t="str">
        <x:v>sequences/GSF2238-Lennon-Plate2-hja2016_105_S6_L001_R1_001.fastq.gz</x:v>
      </x:c>
      <x:c r="M52" s="14" t="str">
        <x:v>sequences/GSF2238-Lennon-Plate2-hja2016_105_S6_L001_R2_001.fastq.gz</x:v>
      </x:c>
      <x:c r="N52" s="14" t="str">
        <x:v>TRUE</x:v>
      </x:c>
      <x:c r="O52" s="14" t="str">
        <x:v>FALSE</x:v>
      </x:c>
      <x:c r="P52" s="14" t="str"/>
      <x:c r="Q52" s="14" t="str">
        <x:v>data/hja-env_data_clean.csv</x:v>
      </x:c>
      <x:c r="R52" s="14" t="str">
        <x:v>38</x:v>
      </x:c>
      <x:c r="S52" s="14" t="str">
        <x:v>MATCHED</x:v>
      </x:c>
      <x:c r="T52" s="14" t="str"/>
      <x:c r="U52" s="14" t="str"/>
      <x:c r="V52" s="14" t="str"/>
    </x:row>
    <x:row r="53" ht="20" customHeight="1">
      <x:c r="A53" s="14" t="str">
        <x:v>hja2016_106</x:v>
      </x:c>
      <x:c r="B53" s="14" t="str">
        <x:v>2016</x:v>
      </x:c>
      <x:c r="C53" s="14" t="str">
        <x:v>HJA2016_Plate2</x:v>
      </x:c>
      <x:c r="D53" s="14" t="str">
        <x:v>Plate2</x:v>
      </x:c>
      <x:c r="E53" s="14" t="str">
        <x:v>S7</x:v>
      </x:c>
      <x:c r="F53" s="14" t="str">
        <x:v>170</x:v>
      </x:c>
      <x:c r="G53" s="14" t="str">
        <x:v>170</x:v>
      </x:c>
      <x:c r="H53" s="14" t="str">
        <x:v>Stream</x:v>
      </x:c>
      <x:c r="I53" s="14" t="str">
        <x:v>planktonic streamwater</x:v>
      </x:c>
      <x:c r="J53" s="14" t="str">
        <x:v>GSF2238-Lennon-Plate2-hja2016_106_S7_L001_R1_001.fastq.gz</x:v>
      </x:c>
      <x:c r="K53" s="14" t="str">
        <x:v>GSF2238-Lennon-Plate2-hja2016_106_S7_L001_R2_001.fastq.gz</x:v>
      </x:c>
      <x:c r="L53" s="14" t="str">
        <x:v>sequences/GSF2238-Lennon-Plate2-hja2016_106_S7_L001_R1_001.fastq.gz</x:v>
      </x:c>
      <x:c r="M53" s="14" t="str">
        <x:v>sequences/GSF2238-Lennon-Plate2-hja2016_106_S7_L001_R2_001.fastq.gz</x:v>
      </x:c>
      <x:c r="N53" s="14" t="str">
        <x:v>TRUE</x:v>
      </x:c>
      <x:c r="O53" s="14" t="str">
        <x:v>FALSE</x:v>
      </x:c>
      <x:c r="P53" s="14" t="str"/>
      <x:c r="Q53" s="14" t="str">
        <x:v>data/hja-env_data_clean.csv</x:v>
      </x:c>
      <x:c r="R53" s="14" t="str">
        <x:v>36</x:v>
      </x:c>
      <x:c r="S53" s="14" t="str">
        <x:v>MATCHED</x:v>
      </x:c>
      <x:c r="T53" s="14" t="str"/>
      <x:c r="U53" s="14" t="str"/>
      <x:c r="V53" s="14" t="str"/>
    </x:row>
    <x:row r="54" ht="20" customHeight="1">
      <x:c r="A54" s="14" t="str">
        <x:v>hja2016_107</x:v>
      </x:c>
      <x:c r="B54" s="14" t="str">
        <x:v>2016</x:v>
      </x:c>
      <x:c r="C54" s="14" t="str">
        <x:v>HJA2016_Plate2</x:v>
      </x:c>
      <x:c r="D54" s="14" t="str">
        <x:v>Plate2</x:v>
      </x:c>
      <x:c r="E54" s="14" t="str">
        <x:v>S8</x:v>
      </x:c>
      <x:c r="F54" s="14" t="str">
        <x:v>57</x:v>
      </x:c>
      <x:c r="G54" s="14" t="str">
        <x:v>57</x:v>
      </x:c>
      <x:c r="H54" s="14" t="str">
        <x:v>Hyporheic</x:v>
      </x:c>
      <x:c r="I54" s="14" t="str">
        <x:v>hyporheic water</x:v>
      </x:c>
      <x:c r="J54" s="14" t="str">
        <x:v>GSF2238-Lennon-Plate2-hja2016_107_S8_L001_R1_001.fastq.gz</x:v>
      </x:c>
      <x:c r="K54" s="14" t="str">
        <x:v>GSF2238-Lennon-Plate2-hja2016_107_S8_L001_R2_001.fastq.gz</x:v>
      </x:c>
      <x:c r="L54" s="14" t="str">
        <x:v>sequences/GSF2238-Lennon-Plate2-hja2016_107_S8_L001_R1_001.fastq.gz</x:v>
      </x:c>
      <x:c r="M54" s="14" t="str">
        <x:v>sequences/GSF2238-Lennon-Plate2-hja2016_107_S8_L001_R2_001.fastq.gz</x:v>
      </x:c>
      <x:c r="N54" s="14" t="str">
        <x:v>TRUE</x:v>
      </x:c>
      <x:c r="O54" s="14" t="str">
        <x:v>FALSE</x:v>
      </x:c>
      <x:c r="P54" s="14" t="str"/>
      <x:c r="Q54" s="14" t="str">
        <x:v>data/hja-env_data_clean.csv</x:v>
      </x:c>
      <x:c r="R54" s="14" t="str">
        <x:v>73</x:v>
      </x:c>
      <x:c r="S54" s="14" t="str">
        <x:v>MATCHED</x:v>
      </x:c>
      <x:c r="T54" s="14" t="str"/>
      <x:c r="U54" s="14" t="str"/>
      <x:c r="V54" s="14" t="str"/>
    </x:row>
    <x:row r="55" ht="20" customHeight="1">
      <x:c r="A55" s="14" t="str">
        <x:v>hja2016_109</x:v>
      </x:c>
      <x:c r="B55" s="14" t="str">
        <x:v>2016</x:v>
      </x:c>
      <x:c r="C55" s="14" t="str">
        <x:v>HJA2016_Plate2</x:v>
      </x:c>
      <x:c r="D55" s="14" t="str">
        <x:v>Plate2</x:v>
      </x:c>
      <x:c r="E55" s="14" t="str">
        <x:v>S9</x:v>
      </x:c>
      <x:c r="F55" s="14" t="str">
        <x:v>169</x:v>
      </x:c>
      <x:c r="G55" s="14" t="str">
        <x:v>169</x:v>
      </x:c>
      <x:c r="H55" s="14" t="str">
        <x:v>Stream</x:v>
      </x:c>
      <x:c r="I55" s="14" t="str">
        <x:v>planktonic streamwater</x:v>
      </x:c>
      <x:c r="J55" s="14" t="str">
        <x:v>GSF2238-Lennon-Plate2-hja2016_109_S9_L001_R1_001.fastq.gz</x:v>
      </x:c>
      <x:c r="K55" s="14" t="str">
        <x:v>GSF2238-Lennon-Plate2-hja2016_109_S9_L001_R2_001.fastq.gz</x:v>
      </x:c>
      <x:c r="L55" s="14" t="str">
        <x:v>sequences/GSF2238-Lennon-Plate2-hja2016_109_S9_L001_R1_001.fastq.gz</x:v>
      </x:c>
      <x:c r="M55" s="14" t="str">
        <x:v>sequences/GSF2238-Lennon-Plate2-hja2016_109_S9_L001_R2_001.fastq.gz</x:v>
      </x:c>
      <x:c r="N55" s="14" t="str">
        <x:v>TRUE</x:v>
      </x:c>
      <x:c r="O55" s="14" t="str">
        <x:v>FALSE</x:v>
      </x:c>
      <x:c r="P55" s="14" t="str"/>
      <x:c r="Q55" s="14" t="str">
        <x:v>data/hja-env_data_clean.csv</x:v>
      </x:c>
      <x:c r="R55" s="14" t="str">
        <x:v>35</x:v>
      </x:c>
      <x:c r="S55" s="14" t="str">
        <x:v>MATCHED</x:v>
      </x:c>
      <x:c r="T55" s="14" t="str"/>
      <x:c r="U55" s="14" t="str"/>
      <x:c r="V55" s="14" t="str"/>
    </x:row>
    <x:row r="56" ht="20" customHeight="1">
      <x:c r="A56" s="14" t="str">
        <x:v>hja2016_110</x:v>
      </x:c>
      <x:c r="B56" s="14" t="str">
        <x:v>2016</x:v>
      </x:c>
      <x:c r="C56" s="14" t="str">
        <x:v>HJA2016_Plate2</x:v>
      </x:c>
      <x:c r="D56" s="14" t="str">
        <x:v>Plate2</x:v>
      </x:c>
      <x:c r="E56" s="14" t="str">
        <x:v>S10</x:v>
      </x:c>
      <x:c r="F56" s="14" t="str">
        <x:v>76</x:v>
      </x:c>
      <x:c r="G56" s="14" t="str">
        <x:v>76</x:v>
      </x:c>
      <x:c r="H56" s="14" t="str">
        <x:v>Hyporheic</x:v>
      </x:c>
      <x:c r="I56" s="14" t="str">
        <x:v>hyporheic water</x:v>
      </x:c>
      <x:c r="J56" s="14" t="str">
        <x:v>GSF2238-Lennon-Plate2-hja2016_110_S10_L001_R1_001.fastq.gz</x:v>
      </x:c>
      <x:c r="K56" s="14" t="str">
        <x:v>GSF2238-Lennon-Plate2-hja2016_110_S10_L001_R2_001.fastq.gz</x:v>
      </x:c>
      <x:c r="L56" s="14" t="str">
        <x:v>sequences/GSF2238-Lennon-Plate2-hja2016_110_S10_L001_R1_001.fastq.gz</x:v>
      </x:c>
      <x:c r="M56" s="14" t="str">
        <x:v>sequences/GSF2238-Lennon-Plate2-hja2016_110_S10_L001_R2_001.fastq.gz</x:v>
      </x:c>
      <x:c r="N56" s="14" t="str">
        <x:v>TRUE</x:v>
      </x:c>
      <x:c r="O56" s="14" t="str">
        <x:v>FALSE</x:v>
      </x:c>
      <x:c r="P56" s="14" t="str"/>
      <x:c r="Q56" s="14" t="str">
        <x:v>data/hja-env_data_clean.csv</x:v>
      </x:c>
      <x:c r="R56" s="14" t="str">
        <x:v>85</x:v>
      </x:c>
      <x:c r="S56" s="14" t="str">
        <x:v>MATCHED</x:v>
      </x:c>
      <x:c r="T56" s="14" t="str"/>
      <x:c r="U56" s="14" t="str"/>
      <x:c r="V56" s="14" t="str"/>
    </x:row>
    <x:row r="57" ht="20" customHeight="1">
      <x:c r="A57" s="14" t="str">
        <x:v>hja2016_111</x:v>
      </x:c>
      <x:c r="B57" s="14" t="str">
        <x:v>2016</x:v>
      </x:c>
      <x:c r="C57" s="14" t="str">
        <x:v>HJA2016_Plate2</x:v>
      </x:c>
      <x:c r="D57" s="14" t="str">
        <x:v>Plate2</x:v>
      </x:c>
      <x:c r="E57" s="14" t="str">
        <x:v>S11</x:v>
      </x:c>
      <x:c r="F57" s="14" t="str">
        <x:v>160</x:v>
      </x:c>
      <x:c r="G57" s="14" t="str">
        <x:v>160</x:v>
      </x:c>
      <x:c r="H57" s="14" t="str">
        <x:v>Stream</x:v>
      </x:c>
      <x:c r="I57" s="14" t="str">
        <x:v>planktonic streamwater</x:v>
      </x:c>
      <x:c r="J57" s="14" t="str">
        <x:v>GSF2238-Lennon-Plate2-hja2016_111_S11_L001_R1_001.fastq.gz</x:v>
      </x:c>
      <x:c r="K57" s="14" t="str">
        <x:v>GSF2238-Lennon-Plate2-hja2016_111_S11_L001_R2_001.fastq.gz</x:v>
      </x:c>
      <x:c r="L57" s="14" t="str">
        <x:v>sequences/GSF2238-Lennon-Plate2-hja2016_111_S11_L001_R1_001.fastq.gz</x:v>
      </x:c>
      <x:c r="M57" s="14" t="str">
        <x:v>sequences/GSF2238-Lennon-Plate2-hja2016_111_S11_L001_R2_001.fastq.gz</x:v>
      </x:c>
      <x:c r="N57" s="14" t="str">
        <x:v>TRUE</x:v>
      </x:c>
      <x:c r="O57" s="14" t="str">
        <x:v>FALSE</x:v>
      </x:c>
      <x:c r="P57" s="14" t="str"/>
      <x:c r="Q57" s="14" t="str">
        <x:v>data/hja-env_data_clean.csv</x:v>
      </x:c>
      <x:c r="R57" s="14" t="str">
        <x:v>29</x:v>
      </x:c>
      <x:c r="S57" s="14" t="str">
        <x:v>MATCHED</x:v>
      </x:c>
      <x:c r="T57" s="14" t="str"/>
      <x:c r="U57" s="14" t="str"/>
      <x:c r="V57" s="14" t="str"/>
    </x:row>
    <x:row r="58" ht="20" customHeight="1">
      <x:c r="A58" s="14" t="str">
        <x:v>hja2016_114</x:v>
      </x:c>
      <x:c r="B58" s="14" t="str">
        <x:v>2016</x:v>
      </x:c>
      <x:c r="C58" s="14" t="str">
        <x:v>HJA2016_Plate2</x:v>
      </x:c>
      <x:c r="D58" s="14" t="str">
        <x:v>Plate2</x:v>
      </x:c>
      <x:c r="E58" s="14" t="str">
        <x:v>S60</x:v>
      </x:c>
      <x:c r="F58" s="14" t="str">
        <x:v>WS1-5</x:v>
      </x:c>
      <x:c r="G58" s="14" t="str">
        <x:v>WS1-5</x:v>
      </x:c>
      <x:c r="H58" s="14" t="str">
        <x:v>Stream</x:v>
      </x:c>
      <x:c r="I58" s="14" t="str">
        <x:v>planktonic streamwater</x:v>
      </x:c>
      <x:c r="J58" s="14" t="str">
        <x:v>GSF2238-Lennon-Plate2-hja2016_114_S60_L001_R1_001.fastq.gz</x:v>
      </x:c>
      <x:c r="K58" s="14" t="str">
        <x:v>GSF2238-Lennon-Plate2-hja2016_114_S60_L001_R2_001.fastq.gz</x:v>
      </x:c>
      <x:c r="L58" s="14" t="str">
        <x:v>sequences/GSF2238-Lennon-Plate2-hja2016_114_S60_L001_R1_001.fastq.gz</x:v>
      </x:c>
      <x:c r="M58" s="14" t="str">
        <x:v>sequences/GSF2238-Lennon-Plate2-hja2016_114_S60_L001_R2_001.fastq.gz</x:v>
      </x:c>
      <x:c r="N58" s="14" t="str">
        <x:v>TRUE</x:v>
      </x:c>
      <x:c r="O58" s="14" t="str">
        <x:v>FALSE</x:v>
      </x:c>
      <x:c r="P58" s="14" t="str"/>
      <x:c r="Q58" s="14" t="str">
        <x:v>data/hja-env_data_clean.csv</x:v>
      </x:c>
      <x:c r="R58" s="14" t="str">
        <x:v>54</x:v>
      </x:c>
      <x:c r="S58" s="14" t="str">
        <x:v>MATCHED</x:v>
      </x:c>
      <x:c r="T58" s="14" t="str"/>
      <x:c r="U58" s="14" t="str"/>
      <x:c r="V58" s="14" t="str"/>
    </x:row>
    <x:row r="59" ht="20" customHeight="1">
      <x:c r="A59" s="14" t="str">
        <x:v>hja2016_116</x:v>
      </x:c>
      <x:c r="B59" s="14" t="str">
        <x:v>2016</x:v>
      </x:c>
      <x:c r="C59" s="14" t="str">
        <x:v>HJA2016_Plate2</x:v>
      </x:c>
      <x:c r="D59" s="14" t="str">
        <x:v>Plate2</x:v>
      </x:c>
      <x:c r="E59" s="14" t="str">
        <x:v>S13</x:v>
      </x:c>
      <x:c r="F59" s="14" t="str">
        <x:v>53</x:v>
      </x:c>
      <x:c r="G59" s="14" t="str">
        <x:v>53</x:v>
      </x:c>
      <x:c r="H59" s="14" t="str">
        <x:v>Stream</x:v>
      </x:c>
      <x:c r="I59" s="14" t="str">
        <x:v>planktonic streamwater</x:v>
      </x:c>
      <x:c r="J59" s="14" t="str">
        <x:v>GSF2238-Lennon-Plate2-hja2016_116_S13_L001_R1_001.fastq.gz</x:v>
      </x:c>
      <x:c r="K59" s="14" t="str">
        <x:v>GSF2238-Lennon-Plate2-hja2016_116_S13_L001_R2_001.fastq.gz</x:v>
      </x:c>
      <x:c r="L59" s="14" t="str">
        <x:v>sequences/GSF2238-Lennon-Plate2-hja2016_116_S13_L001_R1_001.fastq.gz</x:v>
      </x:c>
      <x:c r="M59" s="14" t="str">
        <x:v>sequences/GSF2238-Lennon-Plate2-hja2016_116_S13_L001_R2_001.fastq.gz</x:v>
      </x:c>
      <x:c r="N59" s="14" t="str">
        <x:v>TRUE</x:v>
      </x:c>
      <x:c r="O59" s="14" t="str">
        <x:v>FALSE</x:v>
      </x:c>
      <x:c r="P59" s="14" t="str"/>
      <x:c r="Q59" s="14" t="str">
        <x:v>data/hja-env_data_clean.csv</x:v>
      </x:c>
      <x:c r="R59" s="14" t="str">
        <x:v>7</x:v>
      </x:c>
      <x:c r="S59" s="14" t="str">
        <x:v>MATCHED</x:v>
      </x:c>
      <x:c r="T59" s="14" t="str"/>
      <x:c r="U59" s="14" t="str"/>
      <x:c r="V59" s="14" t="str"/>
    </x:row>
    <x:row r="60" ht="20" customHeight="1">
      <x:c r="A60" s="14" t="str">
        <x:v>hja2016_119</x:v>
      </x:c>
      <x:c r="B60" s="14" t="str">
        <x:v>2016</x:v>
      </x:c>
      <x:c r="C60" s="14" t="str">
        <x:v>HJA2016_Plate2</x:v>
      </x:c>
      <x:c r="D60" s="14" t="str">
        <x:v>Plate2</x:v>
      </x:c>
      <x:c r="E60" s="14" t="str">
        <x:v>S14</x:v>
      </x:c>
      <x:c r="F60" s="14" t="str">
        <x:v>56</x:v>
      </x:c>
      <x:c r="G60" s="14" t="str">
        <x:v>56</x:v>
      </x:c>
      <x:c r="H60" s="14" t="str">
        <x:v>Stream</x:v>
      </x:c>
      <x:c r="I60" s="14" t="str">
        <x:v>planktonic streamwater</x:v>
      </x:c>
      <x:c r="J60" s="14" t="str">
        <x:v>GSF2238-Lennon-Plate2-hja2016_119_S14_L001_R1_001.fastq.gz</x:v>
      </x:c>
      <x:c r="K60" s="14" t="str">
        <x:v>GSF2238-Lennon-Plate2-hja2016_119_S14_L001_R2_001.fastq.gz</x:v>
      </x:c>
      <x:c r="L60" s="14" t="str">
        <x:v>sequences/GSF2238-Lennon-Plate2-hja2016_119_S14_L001_R1_001.fastq.gz</x:v>
      </x:c>
      <x:c r="M60" s="14" t="str">
        <x:v>sequences/GSF2238-Lennon-Plate2-hja2016_119_S14_L001_R2_001.fastq.gz</x:v>
      </x:c>
      <x:c r="N60" s="14" t="str">
        <x:v>TRUE</x:v>
      </x:c>
      <x:c r="O60" s="14" t="str">
        <x:v>FALSE</x:v>
      </x:c>
      <x:c r="P60" s="14" t="str"/>
      <x:c r="Q60" s="14" t="str">
        <x:v>data/hja-env_data_clean.csv</x:v>
      </x:c>
      <x:c r="R60" s="14" t="str">
        <x:v>10</x:v>
      </x:c>
      <x:c r="S60" s="14" t="str">
        <x:v>MATCHED</x:v>
      </x:c>
      <x:c r="T60" s="14" t="str"/>
      <x:c r="U60" s="14" t="str"/>
      <x:c r="V60" s="14" t="str"/>
    </x:row>
    <x:row r="61" ht="20" customHeight="1">
      <x:c r="A61" s="14" t="str">
        <x:v>hja2016_121</x:v>
      </x:c>
      <x:c r="B61" s="14" t="str">
        <x:v>2016</x:v>
      </x:c>
      <x:c r="C61" s="14" t="str">
        <x:v>HJA2016_Plate2</x:v>
      </x:c>
      <x:c r="D61" s="14" t="str">
        <x:v>Plate2</x:v>
      </x:c>
      <x:c r="E61" s="14" t="str">
        <x:v>S15</x:v>
      </x:c>
      <x:c r="F61" s="14" t="str">
        <x:v>84</x:v>
      </x:c>
      <x:c r="G61" s="14" t="str">
        <x:v>84</x:v>
      </x:c>
      <x:c r="H61" s="14" t="str">
        <x:v>Hyporheic</x:v>
      </x:c>
      <x:c r="I61" s="14" t="str">
        <x:v>hyporheic water</x:v>
      </x:c>
      <x:c r="J61" s="14" t="str">
        <x:v>GSF2238-Lennon-Plate2-hja2016_121_S15_L001_R1_001.fastq.gz</x:v>
      </x:c>
      <x:c r="K61" s="14" t="str">
        <x:v>GSF2238-Lennon-Plate2-hja2016_121_S15_L001_R2_001.fastq.gz</x:v>
      </x:c>
      <x:c r="L61" s="14" t="str">
        <x:v>sequences/GSF2238-Lennon-Plate2-hja2016_121_S15_L001_R1_001.fastq.gz</x:v>
      </x:c>
      <x:c r="M61" s="14" t="str">
        <x:v>sequences/GSF2238-Lennon-Plate2-hja2016_121_S15_L001_R2_001.fastq.gz</x:v>
      </x:c>
      <x:c r="N61" s="14" t="str">
        <x:v>TRUE</x:v>
      </x:c>
      <x:c r="O61" s="14" t="str">
        <x:v>FALSE</x:v>
      </x:c>
      <x:c r="P61" s="14" t="str"/>
      <x:c r="Q61" s="14" t="str">
        <x:v>data/hja-env_data_clean.csv</x:v>
      </x:c>
      <x:c r="R61" s="14" t="str">
        <x:v>88</x:v>
      </x:c>
      <x:c r="S61" s="14" t="str">
        <x:v>MATCHED</x:v>
      </x:c>
      <x:c r="T61" s="14" t="str"/>
      <x:c r="U61" s="14" t="str"/>
      <x:c r="V61" s="14" t="str"/>
    </x:row>
    <x:row r="62" ht="20" customHeight="1">
      <x:c r="A62" s="14" t="str">
        <x:v>hja2016_122</x:v>
      </x:c>
      <x:c r="B62" s="14" t="str">
        <x:v>2016</x:v>
      </x:c>
      <x:c r="C62" s="14" t="str">
        <x:v>HJA2016_Plate2</x:v>
      </x:c>
      <x:c r="D62" s="14" t="str">
        <x:v>Plate2</x:v>
      </x:c>
      <x:c r="E62" s="14" t="str">
        <x:v>S16</x:v>
      </x:c>
      <x:c r="F62" s="14" t="str">
        <x:v>45</x:v>
      </x:c>
      <x:c r="G62" s="14" t="str">
        <x:v>45</x:v>
      </x:c>
      <x:c r="H62" s="14" t="str">
        <x:v>Sediment</x:v>
      </x:c>
      <x:c r="I62" s="14" t="str">
        <x:v>stream sediment</x:v>
      </x:c>
      <x:c r="J62" s="14" t="str">
        <x:v>GSF2238-Lennon-Plate2-hja2016_122_S16_L001_R1_001.fastq.gz</x:v>
      </x:c>
      <x:c r="K62" s="14" t="str">
        <x:v>GSF2238-Lennon-Plate2-hja2016_122_S16_L001_R2_001.fastq.gz</x:v>
      </x:c>
      <x:c r="L62" s="14" t="str">
        <x:v>sequences/GSF2238-Lennon-Plate2-hja2016_122_S16_L001_R1_001.fastq.gz</x:v>
      </x:c>
      <x:c r="M62" s="14" t="str">
        <x:v>sequences/GSF2238-Lennon-Plate2-hja2016_122_S16_L001_R2_001.fastq.gz</x:v>
      </x:c>
      <x:c r="N62" s="14" t="str">
        <x:v>TRUE</x:v>
      </x:c>
      <x:c r="O62" s="14" t="str">
        <x:v>FALSE</x:v>
      </x:c>
      <x:c r="P62" s="14" t="str"/>
      <x:c r="Q62" s="14" t="str">
        <x:v>data/hja-env_data_clean.csv</x:v>
      </x:c>
      <x:c r="R62" s="14" t="str">
        <x:v>127</x:v>
      </x:c>
      <x:c r="S62" s="14" t="str">
        <x:v>MATCHED</x:v>
      </x:c>
      <x:c r="T62" s="14" t="str"/>
      <x:c r="U62" s="14" t="str"/>
      <x:c r="V62" s="14" t="str"/>
    </x:row>
    <x:row r="63" ht="20" customHeight="1">
      <x:c r="A63" s="14" t="str">
        <x:v>hja2016_123</x:v>
      </x:c>
      <x:c r="B63" s="14" t="str">
        <x:v>2016</x:v>
      </x:c>
      <x:c r="C63" s="14" t="str">
        <x:v>HJA2016_Plate2</x:v>
      </x:c>
      <x:c r="D63" s="14" t="str">
        <x:v>Plate2</x:v>
      </x:c>
      <x:c r="E63" s="14" t="str">
        <x:v>S17</x:v>
      </x:c>
      <x:c r="F63" s="14" t="str">
        <x:v>54</x:v>
      </x:c>
      <x:c r="G63" s="14" t="str">
        <x:v>54</x:v>
      </x:c>
      <x:c r="H63" s="14" t="str">
        <x:v>Sediment</x:v>
      </x:c>
      <x:c r="I63" s="14" t="str">
        <x:v>stream sediment</x:v>
      </x:c>
      <x:c r="J63" s="14" t="str">
        <x:v>GSF2238-Lennon-Plate2-hja2016_123_S17_L001_R1_001.fastq.gz</x:v>
      </x:c>
      <x:c r="K63" s="14" t="str">
        <x:v>GSF2238-Lennon-Plate2-hja2016_123_S17_L001_R2_001.fastq.gz</x:v>
      </x:c>
      <x:c r="L63" s="14" t="str">
        <x:v>sequences/GSF2238-Lennon-Plate2-hja2016_123_S17_L001_R1_001.fastq.gz</x:v>
      </x:c>
      <x:c r="M63" s="14" t="str">
        <x:v>sequences/GSF2238-Lennon-Plate2-hja2016_123_S17_L001_R2_001.fastq.gz</x:v>
      </x:c>
      <x:c r="N63" s="14" t="str">
        <x:v>TRUE</x:v>
      </x:c>
      <x:c r="O63" s="14" t="str">
        <x:v>FALSE</x:v>
      </x:c>
      <x:c r="P63" s="14" t="str"/>
      <x:c r="Q63" s="14" t="str">
        <x:v>data/hja-env_data_clean.csv</x:v>
      </x:c>
      <x:c r="R63" s="14" t="str">
        <x:v>132</x:v>
      </x:c>
      <x:c r="S63" s="14" t="str">
        <x:v>MATCHED</x:v>
      </x:c>
      <x:c r="T63" s="14" t="str"/>
      <x:c r="U63" s="14" t="str"/>
      <x:c r="V63" s="14" t="str"/>
    </x:row>
    <x:row r="64" ht="20" customHeight="1">
      <x:c r="A64" s="14" t="str">
        <x:v>hja2016_125</x:v>
      </x:c>
      <x:c r="B64" s="14" t="str">
        <x:v>2016</x:v>
      </x:c>
      <x:c r="C64" s="14" t="str">
        <x:v>HJA2016_Plate2</x:v>
      </x:c>
      <x:c r="D64" s="14" t="str">
        <x:v>Plate2</x:v>
      </x:c>
      <x:c r="E64" s="14" t="str">
        <x:v>S18</x:v>
      </x:c>
      <x:c r="F64" s="14" t="str">
        <x:v>56</x:v>
      </x:c>
      <x:c r="G64" s="14" t="str">
        <x:v>56</x:v>
      </x:c>
      <x:c r="H64" s="14" t="str">
        <x:v>Sediment</x:v>
      </x:c>
      <x:c r="I64" s="14" t="str">
        <x:v>stream sediment</x:v>
      </x:c>
      <x:c r="J64" s="14" t="str">
        <x:v>GSF2238-Lennon-Plate2-hja2016_125_S18_L001_R1_001.fastq.gz</x:v>
      </x:c>
      <x:c r="K64" s="14" t="str">
        <x:v>GSF2238-Lennon-Plate2-hja2016_125_S18_L001_R2_001.fastq.gz</x:v>
      </x:c>
      <x:c r="L64" s="14" t="str">
        <x:v>sequences/GSF2238-Lennon-Plate2-hja2016_125_S18_L001_R1_001.fastq.gz</x:v>
      </x:c>
      <x:c r="M64" s="14" t="str">
        <x:v>sequences/GSF2238-Lennon-Plate2-hja2016_125_S18_L001_R2_001.fastq.gz</x:v>
      </x:c>
      <x:c r="N64" s="14" t="str">
        <x:v>TRUE</x:v>
      </x:c>
      <x:c r="O64" s="14" t="str">
        <x:v>FALSE</x:v>
      </x:c>
      <x:c r="P64" s="14" t="str"/>
      <x:c r="Q64" s="14" t="str">
        <x:v>data/hja-env_data_clean.csv</x:v>
      </x:c>
      <x:c r="R64" s="14" t="str">
        <x:v>134</x:v>
      </x:c>
      <x:c r="S64" s="14" t="str">
        <x:v>MATCHED</x:v>
      </x:c>
      <x:c r="T64" s="14" t="str"/>
      <x:c r="U64" s="14" t="str"/>
      <x:c r="V64" s="14" t="str"/>
    </x:row>
    <x:row r="65" ht="20" customHeight="1">
      <x:c r="A65" s="14" t="str">
        <x:v>hja2016_126</x:v>
      </x:c>
      <x:c r="B65" s="14" t="str">
        <x:v>2016</x:v>
      </x:c>
      <x:c r="C65" s="14" t="str">
        <x:v>HJA2016_Plate2</x:v>
      </x:c>
      <x:c r="D65" s="14" t="str">
        <x:v>Plate2</x:v>
      </x:c>
      <x:c r="E65" s="14" t="str">
        <x:v>S19</x:v>
      </x:c>
      <x:c r="F65" s="14" t="str">
        <x:v>58</x:v>
      </x:c>
      <x:c r="G65" s="14" t="str">
        <x:v>58</x:v>
      </x:c>
      <x:c r="H65" s="14" t="str">
        <x:v>Sediment</x:v>
      </x:c>
      <x:c r="I65" s="14" t="str">
        <x:v>stream sediment</x:v>
      </x:c>
      <x:c r="J65" s="14" t="str">
        <x:v>GSF2238-Lennon-Plate2-hja2016_126_S19_L001_R1_001.fastq.gz</x:v>
      </x:c>
      <x:c r="K65" s="14" t="str">
        <x:v>GSF2238-Lennon-Plate2-hja2016_126_S19_L001_R2_001.fastq.gz</x:v>
      </x:c>
      <x:c r="L65" s="14" t="str">
        <x:v>sequences/GSF2238-Lennon-Plate2-hja2016_126_S19_L001_R1_001.fastq.gz</x:v>
      </x:c>
      <x:c r="M65" s="14" t="str">
        <x:v>sequences/GSF2238-Lennon-Plate2-hja2016_126_S19_L001_R2_001.fastq.gz</x:v>
      </x:c>
      <x:c r="N65" s="14" t="str">
        <x:v>TRUE</x:v>
      </x:c>
      <x:c r="O65" s="14" t="str">
        <x:v>FALSE</x:v>
      </x:c>
      <x:c r="P65" s="14" t="str"/>
      <x:c r="Q65" s="14" t="str">
        <x:v>data/hja-env_data_clean.csv</x:v>
      </x:c>
      <x:c r="R65" s="14" t="str">
        <x:v>136</x:v>
      </x:c>
      <x:c r="S65" s="14" t="str">
        <x:v>MATCHED</x:v>
      </x:c>
      <x:c r="T65" s="14" t="str"/>
      <x:c r="U65" s="14" t="str"/>
      <x:c r="V65" s="14" t="str"/>
    </x:row>
    <x:row r="66" ht="20" customHeight="1">
      <x:c r="A66" s="14" t="str">
        <x:v>hja2016_127</x:v>
      </x:c>
      <x:c r="B66" s="14" t="str">
        <x:v>2016</x:v>
      </x:c>
      <x:c r="C66" s="14" t="str">
        <x:v>HJA2016_Plate1</x:v>
      </x:c>
      <x:c r="D66" s="14" t="str">
        <x:v>Plate1</x:v>
      </x:c>
      <x:c r="E66" s="14" t="str">
        <x:v>S20</x:v>
      </x:c>
      <x:c r="F66" s="14" t="str">
        <x:v>60</x:v>
      </x:c>
      <x:c r="G66" s="14" t="str">
        <x:v>60</x:v>
      </x:c>
      <x:c r="H66" s="14" t="str">
        <x:v>Sediment</x:v>
      </x:c>
      <x:c r="I66" s="14" t="str">
        <x:v>stream sediment</x:v>
      </x:c>
      <x:c r="J66" s="14" t="str">
        <x:v>GSF2238-Lennon-Plate1-hja2016_127_S20_L001_R1_001.fastq.gz</x:v>
      </x:c>
      <x:c r="K66" s="14" t="str">
        <x:v>GSF2238-Lennon-Plate1-hja2016_127_S20_L001_R2_001.fastq.gz</x:v>
      </x:c>
      <x:c r="L66" s="14" t="str">
        <x:v>sequences/GSF2238-Lennon-Plate1-hja2016_127_S20_L001_R1_001.fastq.gz</x:v>
      </x:c>
      <x:c r="M66" s="14" t="str">
        <x:v>sequences/GSF2238-Lennon-Plate1-hja2016_127_S20_L001_R2_001.fastq.gz</x:v>
      </x:c>
      <x:c r="N66" s="14" t="str">
        <x:v>TRUE</x:v>
      </x:c>
      <x:c r="O66" s="14" t="str">
        <x:v>FALSE</x:v>
      </x:c>
      <x:c r="P66" s="14" t="str"/>
      <x:c r="Q66" s="14" t="str">
        <x:v>data/hja-env_data_clean.csv</x:v>
      </x:c>
      <x:c r="R66" s="14" t="str">
        <x:v>137</x:v>
      </x:c>
      <x:c r="S66" s="14" t="str">
        <x:v>MATCHED</x:v>
      </x:c>
      <x:c r="T66" s="14" t="str"/>
      <x:c r="U66" s="14" t="str"/>
      <x:c r="V66" s="14" t="str"/>
    </x:row>
    <x:row r="67" ht="20" customHeight="1">
      <x:c r="A67" s="14" t="str">
        <x:v>hja2016_128</x:v>
      </x:c>
      <x:c r="B67" s="14" t="str">
        <x:v>2016</x:v>
      </x:c>
      <x:c r="C67" s="14" t="str">
        <x:v>HJA2016_Plate1</x:v>
      </x:c>
      <x:c r="D67" s="14" t="str">
        <x:v>Plate1</x:v>
      </x:c>
      <x:c r="E67" s="14" t="str">
        <x:v>S21</x:v>
      </x:c>
      <x:c r="F67" s="14" t="str">
        <x:v>68</x:v>
      </x:c>
      <x:c r="G67" s="14" t="str">
        <x:v>68</x:v>
      </x:c>
      <x:c r="H67" s="14" t="str">
        <x:v>Sediment</x:v>
      </x:c>
      <x:c r="I67" s="14" t="str">
        <x:v>stream sediment</x:v>
      </x:c>
      <x:c r="J67" s="14" t="str">
        <x:v>GSF2238-Lennon-Plate1-hja2016_128_S21_L001_R1_001.fastq.gz</x:v>
      </x:c>
      <x:c r="K67" s="14" t="str">
        <x:v>GSF2238-Lennon-Plate1-hja2016_128_S21_L001_R2_001.fastq.gz</x:v>
      </x:c>
      <x:c r="L67" s="14" t="str">
        <x:v>sequences/GSF2238-Lennon-Plate1-hja2016_128_S21_L001_R1_001.fastq.gz</x:v>
      </x:c>
      <x:c r="M67" s="14" t="str">
        <x:v>sequences/GSF2238-Lennon-Plate1-hja2016_128_S21_L001_R2_001.fastq.gz</x:v>
      </x:c>
      <x:c r="N67" s="14" t="str">
        <x:v>TRUE</x:v>
      </x:c>
      <x:c r="O67" s="14" t="str">
        <x:v>FALSE</x:v>
      </x:c>
      <x:c r="P67" s="14" t="str"/>
      <x:c r="Q67" s="14" t="str">
        <x:v>data/hja-env_data_clean.csv</x:v>
      </x:c>
      <x:c r="R67" s="14" t="str">
        <x:v>142</x:v>
      </x:c>
      <x:c r="S67" s="14" t="str">
        <x:v>MATCHED</x:v>
      </x:c>
      <x:c r="T67" s="14" t="str"/>
      <x:c r="U67" s="14" t="str"/>
      <x:c r="V67" s="14" t="str"/>
    </x:row>
    <x:row r="68" ht="20" customHeight="1">
      <x:c r="A68" s="14" t="str">
        <x:v>hja2016_129</x:v>
      </x:c>
      <x:c r="B68" s="14" t="str">
        <x:v>2016</x:v>
      </x:c>
      <x:c r="C68" s="14" t="str">
        <x:v>HJA2016_Plate1</x:v>
      </x:c>
      <x:c r="D68" s="14" t="str">
        <x:v>Plate1</x:v>
      </x:c>
      <x:c r="E68" s="14" t="str">
        <x:v>S22</x:v>
      </x:c>
      <x:c r="F68" s="14" t="str">
        <x:v>72</x:v>
      </x:c>
      <x:c r="G68" s="14" t="str">
        <x:v>72</x:v>
      </x:c>
      <x:c r="H68" s="14" t="str">
        <x:v>Sediment</x:v>
      </x:c>
      <x:c r="I68" s="14" t="str">
        <x:v>stream sediment</x:v>
      </x:c>
      <x:c r="J68" s="14" t="str">
        <x:v>GSF2238-Lennon-Plate1-hja2016_129_S22_L001_R1_001.fastq.gz</x:v>
      </x:c>
      <x:c r="K68" s="14" t="str">
        <x:v>GSF2238-Lennon-Plate1-hja2016_129_S22_L001_R2_001.fastq.gz</x:v>
      </x:c>
      <x:c r="L68" s="14" t="str">
        <x:v>sequences/GSF2238-Lennon-Plate1-hja2016_129_S22_L001_R1_001.fastq.gz</x:v>
      </x:c>
      <x:c r="M68" s="14" t="str">
        <x:v>sequences/GSF2238-Lennon-Plate1-hja2016_129_S22_L001_R2_001.fastq.gz</x:v>
      </x:c>
      <x:c r="N68" s="14" t="str">
        <x:v>TRUE</x:v>
      </x:c>
      <x:c r="O68" s="14" t="str">
        <x:v>FALSE</x:v>
      </x:c>
      <x:c r="P68" s="14" t="str"/>
      <x:c r="Q68" s="14" t="str">
        <x:v>data/hja-env_data_clean.csv</x:v>
      </x:c>
      <x:c r="R68" s="14" t="str">
        <x:v>144</x:v>
      </x:c>
      <x:c r="S68" s="14" t="str">
        <x:v>MATCHED</x:v>
      </x:c>
      <x:c r="T68" s="14" t="str"/>
      <x:c r="U68" s="14" t="str"/>
      <x:c r="V68" s="14" t="str"/>
    </x:row>
    <x:row r="69" ht="20" customHeight="1">
      <x:c r="A69" s="14" t="str">
        <x:v>hja2016_131</x:v>
      </x:c>
      <x:c r="B69" s="14" t="str">
        <x:v>2016</x:v>
      </x:c>
      <x:c r="C69" s="14" t="str">
        <x:v>HJA2016_Plate1</x:v>
      </x:c>
      <x:c r="D69" s="14" t="str">
        <x:v>Plate1</x:v>
      </x:c>
      <x:c r="E69" s="14" t="str">
        <x:v>S23</x:v>
      </x:c>
      <x:c r="F69" s="14" t="str">
        <x:v>74</x:v>
      </x:c>
      <x:c r="G69" s="14" t="str">
        <x:v>74</x:v>
      </x:c>
      <x:c r="H69" s="14" t="str">
        <x:v>Sediment</x:v>
      </x:c>
      <x:c r="I69" s="14" t="str">
        <x:v>stream sediment</x:v>
      </x:c>
      <x:c r="J69" s="14" t="str">
        <x:v>GSF2238-Lennon-Plate1-hja2016_131_S23_L001_R1_001.fastq.gz</x:v>
      </x:c>
      <x:c r="K69" s="14" t="str">
        <x:v>GSF2238-Lennon-Plate1-hja2016_131_S23_L001_R2_001.fastq.gz</x:v>
      </x:c>
      <x:c r="L69" s="14" t="str">
        <x:v>sequences/GSF2238-Lennon-Plate1-hja2016_131_S23_L001_R1_001.fastq.gz</x:v>
      </x:c>
      <x:c r="M69" s="14" t="str">
        <x:v>sequences/GSF2238-Lennon-Plate1-hja2016_131_S23_L001_R2_001.fastq.gz</x:v>
      </x:c>
      <x:c r="N69" s="14" t="str">
        <x:v>TRUE</x:v>
      </x:c>
      <x:c r="O69" s="14" t="str">
        <x:v>FALSE</x:v>
      </x:c>
      <x:c r="P69" s="14" t="str"/>
      <x:c r="Q69" s="14" t="str">
        <x:v>data/hja-env_data_clean.csv</x:v>
      </x:c>
      <x:c r="R69" s="14" t="str">
        <x:v>146</x:v>
      </x:c>
      <x:c r="S69" s="14" t="str">
        <x:v>MATCHED</x:v>
      </x:c>
      <x:c r="T69" s="14" t="str"/>
      <x:c r="U69" s="14" t="str"/>
      <x:c r="V69" s="14" t="str"/>
    </x:row>
    <x:row r="70" ht="20" customHeight="1">
      <x:c r="A70" s="14" t="str">
        <x:v>hja2016_132</x:v>
      </x:c>
      <x:c r="B70" s="14" t="str">
        <x:v>2016</x:v>
      </x:c>
      <x:c r="C70" s="14" t="str">
        <x:v>HJA2016_Plate1</x:v>
      </x:c>
      <x:c r="D70" s="14" t="str">
        <x:v>Plate1</x:v>
      </x:c>
      <x:c r="E70" s="14" t="str">
        <x:v>S24</x:v>
      </x:c>
      <x:c r="F70" s="14" t="str">
        <x:v>84</x:v>
      </x:c>
      <x:c r="G70" s="14" t="str">
        <x:v>84</x:v>
      </x:c>
      <x:c r="H70" s="14" t="str">
        <x:v>Sediment</x:v>
      </x:c>
      <x:c r="I70" s="14" t="str">
        <x:v>stream sediment</x:v>
      </x:c>
      <x:c r="J70" s="14" t="str">
        <x:v>GSF2238-Lennon-Plate1-hja2016_132_S24_L001_R1_001.fastq.gz</x:v>
      </x:c>
      <x:c r="K70" s="14" t="str">
        <x:v>GSF2238-Lennon-Plate1-hja2016_132_S24_L001_R2_001.fastq.gz</x:v>
      </x:c>
      <x:c r="L70" s="14" t="str">
        <x:v>sequences/GSF2238-Lennon-Plate1-hja2016_132_S24_L001_R1_001.fastq.gz</x:v>
      </x:c>
      <x:c r="M70" s="14" t="str">
        <x:v>sequences/GSF2238-Lennon-Plate1-hja2016_132_S24_L001_R2_001.fastq.gz</x:v>
      </x:c>
      <x:c r="N70" s="14" t="str">
        <x:v>TRUE</x:v>
      </x:c>
      <x:c r="O70" s="14" t="str">
        <x:v>FALSE</x:v>
      </x:c>
      <x:c r="P70" s="14" t="str"/>
      <x:c r="Q70" s="14" t="str">
        <x:v>data/hja-env_data_clean.csv</x:v>
      </x:c>
      <x:c r="R70" s="14" t="str">
        <x:v>150</x:v>
      </x:c>
      <x:c r="S70" s="14" t="str">
        <x:v>MATCHED</x:v>
      </x:c>
      <x:c r="T70" s="14" t="str"/>
      <x:c r="U70" s="14" t="str"/>
      <x:c r="V70" s="14" t="str"/>
    </x:row>
    <x:row r="71" ht="20" customHeight="1">
      <x:c r="A71" s="14" t="str">
        <x:v>hja2016_133</x:v>
      </x:c>
      <x:c r="B71" s="14" t="str">
        <x:v>2016</x:v>
      </x:c>
      <x:c r="C71" s="14" t="str">
        <x:v>HJA2016_Plate1</x:v>
      </x:c>
      <x:c r="D71" s="14" t="str">
        <x:v>Plate1</x:v>
      </x:c>
      <x:c r="E71" s="14" t="str">
        <x:v>S25</x:v>
      </x:c>
      <x:c r="F71" s="14" t="str">
        <x:v>161</x:v>
      </x:c>
      <x:c r="G71" s="14" t="str">
        <x:v>161</x:v>
      </x:c>
      <x:c r="H71" s="14" t="str">
        <x:v>Sediment</x:v>
      </x:c>
      <x:c r="I71" s="14" t="str">
        <x:v>stream sediment</x:v>
      </x:c>
      <x:c r="J71" s="14" t="str">
        <x:v>GSF2238-Lennon-Plate1-hja2016_133_S25_L001_R1_001.fastq.gz</x:v>
      </x:c>
      <x:c r="K71" s="14" t="str">
        <x:v>GSF2238-Lennon-Plate1-hja2016_133_S25_L001_R2_001.fastq.gz</x:v>
      </x:c>
      <x:c r="L71" s="14" t="str">
        <x:v>sequences/GSF2238-Lennon-Plate1-hja2016_133_S25_L001_R1_001.fastq.gz</x:v>
      </x:c>
      <x:c r="M71" s="14" t="str">
        <x:v>sequences/GSF2238-Lennon-Plate1-hja2016_133_S25_L001_R2_001.fastq.gz</x:v>
      </x:c>
      <x:c r="N71" s="14" t="str">
        <x:v>TRUE</x:v>
      </x:c>
      <x:c r="O71" s="14" t="str">
        <x:v>FALSE</x:v>
      </x:c>
      <x:c r="P71" s="14" t="str"/>
      <x:c r="Q71" s="14" t="str">
        <x:v>data/hja-env_data_clean.csv</x:v>
      </x:c>
      <x:c r="R71" s="14" t="str">
        <x:v>154</x:v>
      </x:c>
      <x:c r="S71" s="14" t="str">
        <x:v>MATCHED</x:v>
      </x:c>
      <x:c r="T71" s="14" t="str"/>
      <x:c r="U71" s="14" t="str"/>
      <x:c r="V71" s="14" t="str"/>
    </x:row>
    <x:row r="72" ht="20" customHeight="1">
      <x:c r="A72" s="14" t="str">
        <x:v>hja2016_135</x:v>
      </x:c>
      <x:c r="B72" s="14" t="str">
        <x:v>2016</x:v>
      </x:c>
      <x:c r="C72" s="14" t="str">
        <x:v>HJA2016_Plate1</x:v>
      </x:c>
      <x:c r="D72" s="14" t="str">
        <x:v>Plate1</x:v>
      </x:c>
      <x:c r="E72" s="14" t="str">
        <x:v>S26</x:v>
      </x:c>
      <x:c r="F72" s="14" t="str">
        <x:v>169</x:v>
      </x:c>
      <x:c r="G72" s="14" t="str">
        <x:v>169</x:v>
      </x:c>
      <x:c r="H72" s="14" t="str">
        <x:v>Sediment</x:v>
      </x:c>
      <x:c r="I72" s="14" t="str">
        <x:v>stream sediment</x:v>
      </x:c>
      <x:c r="J72" s="14" t="str">
        <x:v>GSF2238-Lennon-Plate1-hja2016_135_S26_L001_R1_001.fastq.gz</x:v>
      </x:c>
      <x:c r="K72" s="14" t="str">
        <x:v>GSF2238-Lennon-Plate1-hja2016_135_S26_L001_R2_001.fastq.gz</x:v>
      </x:c>
      <x:c r="L72" s="14" t="str">
        <x:v>sequences/GSF2238-Lennon-Plate1-hja2016_135_S26_L001_R1_001.fastq.gz</x:v>
      </x:c>
      <x:c r="M72" s="14" t="str">
        <x:v>sequences/GSF2238-Lennon-Plate1-hja2016_135_S26_L001_R2_001.fastq.gz</x:v>
      </x:c>
      <x:c r="N72" s="14" t="str">
        <x:v>TRUE</x:v>
      </x:c>
      <x:c r="O72" s="14" t="str">
        <x:v>FALSE</x:v>
      </x:c>
      <x:c r="P72" s="14" t="str"/>
      <x:c r="Q72" s="14" t="str">
        <x:v>data/hja-env_data_clean.csv</x:v>
      </x:c>
      <x:c r="R72" s="14" t="str">
        <x:v>159</x:v>
      </x:c>
      <x:c r="S72" s="14" t="str">
        <x:v>MATCHED</x:v>
      </x:c>
      <x:c r="T72" s="14" t="str"/>
      <x:c r="U72" s="14" t="str"/>
      <x:c r="V72" s="14" t="str"/>
    </x:row>
    <x:row r="73" ht="20" customHeight="1">
      <x:c r="A73" s="14" t="str">
        <x:v>hja2016_136</x:v>
      </x:c>
      <x:c r="B73" s="14" t="str">
        <x:v>2016</x:v>
      </x:c>
      <x:c r="C73" s="14" t="str">
        <x:v>HJA2016_Plate1</x:v>
      </x:c>
      <x:c r="D73" s="14" t="str">
        <x:v>Plate1</x:v>
      </x:c>
      <x:c r="E73" s="14" t="str">
        <x:v>S27</x:v>
      </x:c>
      <x:c r="F73" s="14" t="str">
        <x:v>190</x:v>
      </x:c>
      <x:c r="G73" s="14" t="str">
        <x:v>190</x:v>
      </x:c>
      <x:c r="H73" s="14" t="str">
        <x:v>Sediment</x:v>
      </x:c>
      <x:c r="I73" s="14" t="str">
        <x:v>stream sediment</x:v>
      </x:c>
      <x:c r="J73" s="14" t="str">
        <x:v>GSF2238-Lennon-Plate1-hja2016_136_S27_L001_R1_001.fastq.gz</x:v>
      </x:c>
      <x:c r="K73" s="14" t="str">
        <x:v>GSF2238-Lennon-Plate1-hja2016_136_S27_L001_R2_001.fastq.gz</x:v>
      </x:c>
      <x:c r="L73" s="14" t="str">
        <x:v>sequences/GSF2238-Lennon-Plate1-hja2016_136_S27_L001_R1_001.fastq.gz</x:v>
      </x:c>
      <x:c r="M73" s="14" t="str">
        <x:v>sequences/GSF2238-Lennon-Plate1-hja2016_136_S27_L001_R2_001.fastq.gz</x:v>
      </x:c>
      <x:c r="N73" s="14" t="str">
        <x:v>TRUE</x:v>
      </x:c>
      <x:c r="O73" s="14" t="str">
        <x:v>FALSE</x:v>
      </x:c>
      <x:c r="P73" s="14" t="str"/>
      <x:c r="Q73" s="14" t="str">
        <x:v>data/hja-env_data_clean.csv</x:v>
      </x:c>
      <x:c r="R73" s="14" t="str">
        <x:v>163</x:v>
      </x:c>
      <x:c r="S73" s="14" t="str">
        <x:v>MATCHED</x:v>
      </x:c>
      <x:c r="T73" s="14" t="str"/>
      <x:c r="U73" s="14" t="str"/>
      <x:c r="V73" s="14" t="str"/>
    </x:row>
    <x:row r="74" ht="20" customHeight="1">
      <x:c r="A74" s="14" t="str">
        <x:v>hja2016_139</x:v>
      </x:c>
      <x:c r="B74" s="14" t="str">
        <x:v>2016</x:v>
      </x:c>
      <x:c r="C74" s="14" t="str">
        <x:v>HJA2016_Plate1</x:v>
      </x:c>
      <x:c r="D74" s="14" t="str">
        <x:v>Plate1</x:v>
      </x:c>
      <x:c r="E74" s="14" t="str">
        <x:v>S28</x:v>
      </x:c>
      <x:c r="F74" s="14" t="str">
        <x:v>CC-2</x:v>
      </x:c>
      <x:c r="G74" s="14" t="str">
        <x:v>CC-2</x:v>
      </x:c>
      <x:c r="H74" s="14" t="str">
        <x:v>Sediment</x:v>
      </x:c>
      <x:c r="I74" s="14" t="str">
        <x:v>stream sediment</x:v>
      </x:c>
      <x:c r="J74" s="14" t="str">
        <x:v>GSF2238-Lennon-Plate1-hja2016_139_S28_L001_R1_001.fastq.gz</x:v>
      </x:c>
      <x:c r="K74" s="14" t="str">
        <x:v>GSF2238-Lennon-Plate1-hja2016_139_S28_L001_R2_001.fastq.gz</x:v>
      </x:c>
      <x:c r="L74" s="14" t="str">
        <x:v>sequences/GSF2238-Lennon-Plate1-hja2016_139_S28_L001_R1_001.fastq.gz</x:v>
      </x:c>
      <x:c r="M74" s="14" t="str">
        <x:v>sequences/GSF2238-Lennon-Plate1-hja2016_139_S28_L001_R2_001.fastq.gz</x:v>
      </x:c>
      <x:c r="N74" s="14" t="str">
        <x:v>TRUE</x:v>
      </x:c>
      <x:c r="O74" s="14" t="str">
        <x:v>FALSE</x:v>
      </x:c>
      <x:c r="P74" s="14" t="str"/>
      <x:c r="Q74" s="14" t="str">
        <x:v>data/hja-env_data_clean.csv</x:v>
      </x:c>
      <x:c r="R74" s="14" t="str">
        <x:v>168</x:v>
      </x:c>
      <x:c r="S74" s="14" t="str">
        <x:v>MATCHED</x:v>
      </x:c>
      <x:c r="T74" s="14" t="str"/>
      <x:c r="U74" s="14" t="str"/>
      <x:c r="V74" s="14" t="str"/>
    </x:row>
    <x:row r="75" ht="20" customHeight="1">
      <x:c r="A75" s="14" t="str">
        <x:v>hja2016_140</x:v>
      </x:c>
      <x:c r="B75" s="14" t="str">
        <x:v>2016</x:v>
      </x:c>
      <x:c r="C75" s="14" t="str">
        <x:v>HJA2016_Plate1</x:v>
      </x:c>
      <x:c r="D75" s="14" t="str">
        <x:v>Plate1</x:v>
      </x:c>
      <x:c r="E75" s="14" t="str">
        <x:v>S29</x:v>
      </x:c>
      <x:c r="F75" s="14" t="str">
        <x:v>CC-3</x:v>
      </x:c>
      <x:c r="G75" s="14" t="str">
        <x:v>CC-3</x:v>
      </x:c>
      <x:c r="H75" s="14" t="str">
        <x:v>Sediment</x:v>
      </x:c>
      <x:c r="I75" s="14" t="str">
        <x:v>stream sediment</x:v>
      </x:c>
      <x:c r="J75" s="14" t="str">
        <x:v>GSF2238-Lennon-Plate1-hja2016_140_S29_L001_R1_001.fastq.gz</x:v>
      </x:c>
      <x:c r="K75" s="14" t="str">
        <x:v>GSF2238-Lennon-Plate1-hja2016_140_S29_L001_R2_001.fastq.gz</x:v>
      </x:c>
      <x:c r="L75" s="14" t="str">
        <x:v>sequences/GSF2238-Lennon-Plate1-hja2016_140_S29_L001_R1_001.fastq.gz</x:v>
      </x:c>
      <x:c r="M75" s="14" t="str">
        <x:v>sequences/GSF2238-Lennon-Plate1-hja2016_140_S29_L001_R2_001.fastq.gz</x:v>
      </x:c>
      <x:c r="N75" s="14" t="str">
        <x:v>TRUE</x:v>
      </x:c>
      <x:c r="O75" s="14" t="str">
        <x:v>FALSE</x:v>
      </x:c>
      <x:c r="P75" s="14" t="str"/>
      <x:c r="Q75" s="14" t="str">
        <x:v>data/hja-env_data_clean.csv</x:v>
      </x:c>
      <x:c r="R75" s="14" t="str">
        <x:v>169</x:v>
      </x:c>
      <x:c r="S75" s="14" t="str">
        <x:v>MATCHED</x:v>
      </x:c>
      <x:c r="T75" s="14" t="str"/>
      <x:c r="U75" s="14" t="str"/>
      <x:c r="V75" s="14" t="str"/>
    </x:row>
    <x:row r="76" ht="20" customHeight="1">
      <x:c r="A76" s="14" t="str">
        <x:v>hja2016_141</x:v>
      </x:c>
      <x:c r="B76" s="14" t="str">
        <x:v>2016</x:v>
      </x:c>
      <x:c r="C76" s="14" t="str">
        <x:v>HJA2016_Plate1</x:v>
      </x:c>
      <x:c r="D76" s="14" t="str">
        <x:v>Plate1</x:v>
      </x:c>
      <x:c r="E76" s="14" t="str">
        <x:v>S30</x:v>
      </x:c>
      <x:c r="F76" s="14" t="str">
        <x:v>CC-4</x:v>
      </x:c>
      <x:c r="G76" s="14" t="str">
        <x:v>CC-4</x:v>
      </x:c>
      <x:c r="H76" s="14" t="str">
        <x:v>Sediment</x:v>
      </x:c>
      <x:c r="I76" s="14" t="str">
        <x:v>stream sediment</x:v>
      </x:c>
      <x:c r="J76" s="14" t="str">
        <x:v>GSF2238-Lennon-Plate1-hja2016_141_S30_L001_R1_001.fastq.gz</x:v>
      </x:c>
      <x:c r="K76" s="14" t="str">
        <x:v>GSF2238-Lennon-Plate1-hja2016_141_S30_L001_R2_001.fastq.gz</x:v>
      </x:c>
      <x:c r="L76" s="14" t="str">
        <x:v>sequences/GSF2238-Lennon-Plate1-hja2016_141_S30_L001_R1_001.fastq.gz</x:v>
      </x:c>
      <x:c r="M76" s="14" t="str">
        <x:v>sequences/GSF2238-Lennon-Plate1-hja2016_141_S30_L001_R2_001.fastq.gz</x:v>
      </x:c>
      <x:c r="N76" s="14" t="str">
        <x:v>TRUE</x:v>
      </x:c>
      <x:c r="O76" s="14" t="str">
        <x:v>FALSE</x:v>
      </x:c>
      <x:c r="P76" s="14" t="str"/>
      <x:c r="Q76" s="14" t="str">
        <x:v>data/hja-env_data_clean.csv</x:v>
      </x:c>
      <x:c r="R76" s="14" t="str">
        <x:v>170</x:v>
      </x:c>
      <x:c r="S76" s="14" t="str">
        <x:v>MATCHED</x:v>
      </x:c>
      <x:c r="T76" s="14" t="str"/>
      <x:c r="U76" s="14" t="str"/>
      <x:c r="V76" s="14" t="str"/>
    </x:row>
    <x:row r="77" ht="20" customHeight="1">
      <x:c r="A77" s="14" t="str">
        <x:v>hja2016_142</x:v>
      </x:c>
      <x:c r="B77" s="14" t="str">
        <x:v>2016</x:v>
      </x:c>
      <x:c r="C77" s="14" t="str">
        <x:v>HJA2016_Plate1</x:v>
      </x:c>
      <x:c r="D77" s="14" t="str">
        <x:v>Plate1</x:v>
      </x:c>
      <x:c r="E77" s="14" t="str">
        <x:v>S31</x:v>
      </x:c>
      <x:c r="F77" s="14" t="str">
        <x:v>KC-1</x:v>
      </x:c>
      <x:c r="G77" s="14" t="str">
        <x:v>KC-1</x:v>
      </x:c>
      <x:c r="H77" s="14" t="str">
        <x:v>Sediment</x:v>
      </x:c>
      <x:c r="I77" s="14" t="str">
        <x:v>stream sediment</x:v>
      </x:c>
      <x:c r="J77" s="14" t="str">
        <x:v>GSF2238-Lennon-Plate1-hja2016_142_S31_L001_R1_001.fastq.gz</x:v>
      </x:c>
      <x:c r="K77" s="14" t="str">
        <x:v>GSF2238-Lennon-Plate1-hja2016_142_S31_L001_R2_001.fastq.gz</x:v>
      </x:c>
      <x:c r="L77" s="14" t="str">
        <x:v>sequences/GSF2238-Lennon-Plate1-hja2016_142_S31_L001_R1_001.fastq.gz</x:v>
      </x:c>
      <x:c r="M77" s="14" t="str">
        <x:v>sequences/GSF2238-Lennon-Plate1-hja2016_142_S31_L001_R2_001.fastq.gz</x:v>
      </x:c>
      <x:c r="N77" s="14" t="str">
        <x:v>TRUE</x:v>
      </x:c>
      <x:c r="O77" s="14" t="str">
        <x:v>FALSE</x:v>
      </x:c>
      <x:c r="P77" s="14" t="str"/>
      <x:c r="Q77" s="14" t="str">
        <x:v>data/hja-env_data_clean.csv</x:v>
      </x:c>
      <x:c r="R77" s="14" t="str">
        <x:v>171</x:v>
      </x:c>
      <x:c r="S77" s="14" t="str">
        <x:v>MATCHED</x:v>
      </x:c>
      <x:c r="T77" s="14" t="str"/>
      <x:c r="U77" s="14" t="str"/>
      <x:c r="V77" s="14" t="str"/>
    </x:row>
    <x:row r="78" ht="20" customHeight="1">
      <x:c r="A78" s="14" t="str">
        <x:v>hja2016_144</x:v>
      </x:c>
      <x:c r="B78" s="14" t="str">
        <x:v>2016</x:v>
      </x:c>
      <x:c r="C78" s="14" t="str">
        <x:v>HJA2016_Plate1</x:v>
      </x:c>
      <x:c r="D78" s="14" t="str">
        <x:v>Plate1</x:v>
      </x:c>
      <x:c r="E78" s="14" t="str">
        <x:v>S32</x:v>
      </x:c>
      <x:c r="F78" s="14" t="str">
        <x:v>KC-3</x:v>
      </x:c>
      <x:c r="G78" s="14" t="str">
        <x:v>KC-3</x:v>
      </x:c>
      <x:c r="H78" s="14" t="str">
        <x:v>Sediment</x:v>
      </x:c>
      <x:c r="I78" s="14" t="str">
        <x:v>stream sediment</x:v>
      </x:c>
      <x:c r="J78" s="14" t="str">
        <x:v>GSF2238-Lennon-Plate1-hja2016_144_S32_L001_R1_001.fastq.gz</x:v>
      </x:c>
      <x:c r="K78" s="14" t="str">
        <x:v>GSF2238-Lennon-Plate1-hja2016_144_S32_L001_R2_001.fastq.gz</x:v>
      </x:c>
      <x:c r="L78" s="14" t="str">
        <x:v>sequences/GSF2238-Lennon-Plate1-hja2016_144_S32_L001_R1_001.fastq.gz</x:v>
      </x:c>
      <x:c r="M78" s="14" t="str">
        <x:v>sequences/GSF2238-Lennon-Plate1-hja2016_144_S32_L001_R2_001.fastq.gz</x:v>
      </x:c>
      <x:c r="N78" s="14" t="str">
        <x:v>TRUE</x:v>
      </x:c>
      <x:c r="O78" s="14" t="str">
        <x:v>FALSE</x:v>
      </x:c>
      <x:c r="P78" s="14" t="str"/>
      <x:c r="Q78" s="14" t="str">
        <x:v>data/hja-env_data_clean.csv</x:v>
      </x:c>
      <x:c r="R78" s="14" t="str">
        <x:v>173</x:v>
      </x:c>
      <x:c r="S78" s="14" t="str">
        <x:v>MATCHED</x:v>
      </x:c>
      <x:c r="T78" s="14" t="str"/>
      <x:c r="U78" s="14" t="str"/>
      <x:c r="V78" s="14" t="str"/>
    </x:row>
    <x:row r="79" ht="20" customHeight="1">
      <x:c r="A79" s="14" t="str">
        <x:v>hja2016_145</x:v>
      </x:c>
      <x:c r="B79" s="14" t="str">
        <x:v>2016</x:v>
      </x:c>
      <x:c r="C79" s="14" t="str">
        <x:v>HJA2016_Plate1</x:v>
      </x:c>
      <x:c r="D79" s="14" t="str">
        <x:v>Plate1</x:v>
      </x:c>
      <x:c r="E79" s="14" t="str">
        <x:v>S33</x:v>
      </x:c>
      <x:c r="F79" s="14" t="str">
        <x:v>155</x:v>
      </x:c>
      <x:c r="G79" s="14" t="str">
        <x:v>155</x:v>
      </x:c>
      <x:c r="H79" s="14" t="str">
        <x:v>Sediment</x:v>
      </x:c>
      <x:c r="I79" s="14" t="str">
        <x:v>stream sediment</x:v>
      </x:c>
      <x:c r="J79" s="14" t="str">
        <x:v>GSF2238-Lennon-Plate1-hja2016_145_S33_L001_R1_001.fastq.gz</x:v>
      </x:c>
      <x:c r="K79" s="14" t="str">
        <x:v>GSF2238-Lennon-Plate1-hja2016_145_S33_L001_R2_001.fastq.gz</x:v>
      </x:c>
      <x:c r="L79" s="14" t="str">
        <x:v>sequences/GSF2238-Lennon-Plate1-hja2016_145_S33_L001_R1_001.fastq.gz</x:v>
      </x:c>
      <x:c r="M79" s="14" t="str">
        <x:v>sequences/GSF2238-Lennon-Plate1-hja2016_145_S33_L001_R2_001.fastq.gz</x:v>
      </x:c>
      <x:c r="N79" s="14" t="str">
        <x:v>TRUE</x:v>
      </x:c>
      <x:c r="O79" s="14" t="str">
        <x:v>FALSE</x:v>
      </x:c>
      <x:c r="P79" s="14" t="str"/>
      <x:c r="Q79" s="14" t="str">
        <x:v>data/hja-env_data_clean.csv</x:v>
      </x:c>
      <x:c r="R79" s="14" t="str">
        <x:v>151</x:v>
      </x:c>
      <x:c r="S79" s="14" t="str">
        <x:v>MATCHED</x:v>
      </x:c>
      <x:c r="T79" s="14" t="str"/>
      <x:c r="U79" s="14" t="str"/>
      <x:c r="V79" s="14" t="str"/>
    </x:row>
    <x:row r="80" ht="20" customHeight="1">
      <x:c r="A80" s="14" t="str">
        <x:v>hja2016_146</x:v>
      </x:c>
      <x:c r="B80" s="14" t="str">
        <x:v>2016</x:v>
      </x:c>
      <x:c r="C80" s="14" t="str">
        <x:v>HJA2016_Plate1</x:v>
      </x:c>
      <x:c r="D80" s="14" t="str">
        <x:v>Plate1</x:v>
      </x:c>
      <x:c r="E80" s="14" t="str">
        <x:v>S34</x:v>
      </x:c>
      <x:c r="F80" s="14" t="str">
        <x:v>156</x:v>
      </x:c>
      <x:c r="G80" s="14" t="str">
        <x:v>156</x:v>
      </x:c>
      <x:c r="H80" s="14" t="str">
        <x:v>Sediment</x:v>
      </x:c>
      <x:c r="I80" s="14" t="str">
        <x:v>stream sediment</x:v>
      </x:c>
      <x:c r="J80" s="14" t="str">
        <x:v>GSF2238-Lennon-Plate1-hja2016_146_S34_L001_R1_001.fastq.gz</x:v>
      </x:c>
      <x:c r="K80" s="14" t="str">
        <x:v>GSF2238-Lennon-Plate1-hja2016_146_S34_L001_R2_001.fastq.gz</x:v>
      </x:c>
      <x:c r="L80" s="14" t="str">
        <x:v>sequences/GSF2238-Lennon-Plate1-hja2016_146_S34_L001_R1_001.fastq.gz</x:v>
      </x:c>
      <x:c r="M80" s="14" t="str">
        <x:v>sequences/GSF2238-Lennon-Plate1-hja2016_146_S34_L001_R2_001.fastq.gz</x:v>
      </x:c>
      <x:c r="N80" s="14" t="str">
        <x:v>TRUE</x:v>
      </x:c>
      <x:c r="O80" s="14" t="str">
        <x:v>FALSE</x:v>
      </x:c>
      <x:c r="P80" s="14" t="str"/>
      <x:c r="Q80" s="14" t="str">
        <x:v>data/hja-env_data_clean.csv</x:v>
      </x:c>
      <x:c r="R80" s="14" t="str">
        <x:v>152</x:v>
      </x:c>
      <x:c r="S80" s="14" t="str">
        <x:v>MATCHED</x:v>
      </x:c>
      <x:c r="T80" s="14" t="str"/>
      <x:c r="U80" s="14" t="str"/>
      <x:c r="V80" s="14" t="str"/>
    </x:row>
    <x:row r="81" ht="20" customHeight="1">
      <x:c r="A81" s="14" t="str">
        <x:v>hja2016_147</x:v>
      </x:c>
      <x:c r="B81" s="14" t="str">
        <x:v>2016</x:v>
      </x:c>
      <x:c r="C81" s="14" t="str">
        <x:v>HJA2016_Plate1</x:v>
      </x:c>
      <x:c r="D81" s="14" t="str">
        <x:v>Plate1</x:v>
      </x:c>
      <x:c r="E81" s="14" t="str">
        <x:v>S35</x:v>
      </x:c>
      <x:c r="F81" s="14" t="str">
        <x:v>163</x:v>
      </x:c>
      <x:c r="G81" s="14" t="str">
        <x:v>163</x:v>
      </x:c>
      <x:c r="H81" s="14" t="str">
        <x:v>Sediment</x:v>
      </x:c>
      <x:c r="I81" s="14" t="str">
        <x:v>stream sediment</x:v>
      </x:c>
      <x:c r="J81" s="14" t="str">
        <x:v>GSF2238-Lennon-Plate1-hja2016_147_S35_L001_R1_001.fastq.gz</x:v>
      </x:c>
      <x:c r="K81" s="14" t="str">
        <x:v>GSF2238-Lennon-Plate1-hja2016_147_S35_L001_R2_001.fastq.gz</x:v>
      </x:c>
      <x:c r="L81" s="14" t="str">
        <x:v>sequences/GSF2238-Lennon-Plate1-hja2016_147_S35_L001_R1_001.fastq.gz</x:v>
      </x:c>
      <x:c r="M81" s="14" t="str">
        <x:v>sequences/GSF2238-Lennon-Plate1-hja2016_147_S35_L001_R2_001.fastq.gz</x:v>
      </x:c>
      <x:c r="N81" s="14" t="str">
        <x:v>TRUE</x:v>
      </x:c>
      <x:c r="O81" s="14" t="str">
        <x:v>FALSE</x:v>
      </x:c>
      <x:c r="P81" s="14" t="str"/>
      <x:c r="Q81" s="14" t="str">
        <x:v>data/hja-env_data_clean.csv</x:v>
      </x:c>
      <x:c r="R81" s="14" t="str">
        <x:v>156</x:v>
      </x:c>
      <x:c r="S81" s="14" t="str">
        <x:v>MATCHED</x:v>
      </x:c>
      <x:c r="T81" s="14" t="str"/>
      <x:c r="U81" s="14" t="str"/>
      <x:c r="V81" s="14" t="str"/>
    </x:row>
    <x:row r="82" ht="20" customHeight="1">
      <x:c r="A82" s="14" t="str">
        <x:v>hja2016_148</x:v>
      </x:c>
      <x:c r="B82" s="14" t="str">
        <x:v>2016</x:v>
      </x:c>
      <x:c r="C82" s="14" t="str">
        <x:v>HJA2016_Plate1</x:v>
      </x:c>
      <x:c r="D82" s="14" t="str">
        <x:v>Plate1</x:v>
      </x:c>
      <x:c r="E82" s="14" t="str">
        <x:v>S36</x:v>
      </x:c>
      <x:c r="F82" s="14" t="str">
        <x:v>165</x:v>
      </x:c>
      <x:c r="G82" s="14" t="str">
        <x:v>165</x:v>
      </x:c>
      <x:c r="H82" s="14" t="str">
        <x:v>Sediment</x:v>
      </x:c>
      <x:c r="I82" s="14" t="str">
        <x:v>stream sediment</x:v>
      </x:c>
      <x:c r="J82" s="14" t="str">
        <x:v>GSF2238-Lennon-Plate1-hja2016_148_S36_L001_R1_001.fastq.gz</x:v>
      </x:c>
      <x:c r="K82" s="14" t="str">
        <x:v>GSF2238-Lennon-Plate1-hja2016_148_S36_L001_R2_001.fastq.gz</x:v>
      </x:c>
      <x:c r="L82" s="14" t="str">
        <x:v>sequences/GSF2238-Lennon-Plate1-hja2016_148_S36_L001_R1_001.fastq.gz</x:v>
      </x:c>
      <x:c r="M82" s="14" t="str">
        <x:v>sequences/GSF2238-Lennon-Plate1-hja2016_148_S36_L001_R2_001.fastq.gz</x:v>
      </x:c>
      <x:c r="N82" s="14" t="str">
        <x:v>TRUE</x:v>
      </x:c>
      <x:c r="O82" s="14" t="str">
        <x:v>FALSE</x:v>
      </x:c>
      <x:c r="P82" s="14" t="str"/>
      <x:c r="Q82" s="14" t="str">
        <x:v>data/hja-env_data_clean.csv</x:v>
      </x:c>
      <x:c r="R82" s="14" t="str">
        <x:v>158</x:v>
      </x:c>
      <x:c r="S82" s="14" t="str">
        <x:v>MATCHED</x:v>
      </x:c>
      <x:c r="T82" s="14" t="str"/>
      <x:c r="U82" s="14" t="str"/>
      <x:c r="V82" s="14" t="str"/>
    </x:row>
    <x:row r="83" ht="20" customHeight="1">
      <x:c r="A83" s="14" t="str">
        <x:v>hja2016_149</x:v>
      </x:c>
      <x:c r="B83" s="14" t="str">
        <x:v>2016</x:v>
      </x:c>
      <x:c r="C83" s="14" t="str">
        <x:v>HJA2016_Plate1</x:v>
      </x:c>
      <x:c r="D83" s="14" t="str">
        <x:v>Plate1</x:v>
      </x:c>
      <x:c r="E83" s="14" t="str">
        <x:v>S37</x:v>
      </x:c>
      <x:c r="F83" s="14" t="str">
        <x:v>170</x:v>
      </x:c>
      <x:c r="G83" s="14" t="str">
        <x:v>170</x:v>
      </x:c>
      <x:c r="H83" s="14" t="str">
        <x:v>Sediment</x:v>
      </x:c>
      <x:c r="I83" s="14" t="str">
        <x:v>stream sediment</x:v>
      </x:c>
      <x:c r="J83" s="14" t="str">
        <x:v>GSF2238-Lennon-Plate1-hja2016_149_S37_L001_R1_001.fastq.gz</x:v>
      </x:c>
      <x:c r="K83" s="14" t="str">
        <x:v>GSF2238-Lennon-Plate1-hja2016_149_S37_L001_R2_001.fastq.gz</x:v>
      </x:c>
      <x:c r="L83" s="14" t="str">
        <x:v>sequences/GSF2238-Lennon-Plate1-hja2016_149_S37_L001_R1_001.fastq.gz</x:v>
      </x:c>
      <x:c r="M83" s="14" t="str">
        <x:v>sequences/GSF2238-Lennon-Plate1-hja2016_149_S37_L001_R2_001.fastq.gz</x:v>
      </x:c>
      <x:c r="N83" s="14" t="str">
        <x:v>TRUE</x:v>
      </x:c>
      <x:c r="O83" s="14" t="str">
        <x:v>FALSE</x:v>
      </x:c>
      <x:c r="P83" s="14" t="str"/>
      <x:c r="Q83" s="14" t="str">
        <x:v>data/hja-env_data_clean.csv</x:v>
      </x:c>
      <x:c r="R83" s="14" t="str">
        <x:v>160</x:v>
      </x:c>
      <x:c r="S83" s="14" t="str">
        <x:v>MATCHED</x:v>
      </x:c>
      <x:c r="T83" s="14" t="str"/>
      <x:c r="U83" s="14" t="str"/>
      <x:c r="V83" s="14" t="str"/>
    </x:row>
    <x:row r="84" ht="20" customHeight="1">
      <x:c r="A84" s="14" t="str">
        <x:v>hja2016_150</x:v>
      </x:c>
      <x:c r="B84" s="14" t="str">
        <x:v>2016</x:v>
      </x:c>
      <x:c r="C84" s="14" t="str">
        <x:v>HJA2016_Plate1</x:v>
      </x:c>
      <x:c r="D84" s="14" t="str">
        <x:v>Plate1</x:v>
      </x:c>
      <x:c r="E84" s="14" t="str">
        <x:v>S38</x:v>
      </x:c>
      <x:c r="F84" s="14" t="str">
        <x:v>53</x:v>
      </x:c>
      <x:c r="G84" s="14" t="str">
        <x:v>53</x:v>
      </x:c>
      <x:c r="H84" s="14" t="str">
        <x:v>Sediment</x:v>
      </x:c>
      <x:c r="I84" s="14" t="str">
        <x:v>stream sediment</x:v>
      </x:c>
      <x:c r="J84" s="14" t="str">
        <x:v>GSF2238-Lennon-Plate1-hja2016_150_S38_L001_R1_001.fastq.gz</x:v>
      </x:c>
      <x:c r="K84" s="14" t="str">
        <x:v>GSF2238-Lennon-Plate1-hja2016_150_S38_L001_R2_001.fastq.gz</x:v>
      </x:c>
      <x:c r="L84" s="14" t="str">
        <x:v>sequences/GSF2238-Lennon-Plate1-hja2016_150_S38_L001_R1_001.fastq.gz</x:v>
      </x:c>
      <x:c r="M84" s="14" t="str">
        <x:v>sequences/GSF2238-Lennon-Plate1-hja2016_150_S38_L001_R2_001.fastq.gz</x:v>
      </x:c>
      <x:c r="N84" s="14" t="str">
        <x:v>TRUE</x:v>
      </x:c>
      <x:c r="O84" s="14" t="str">
        <x:v>FALSE</x:v>
      </x:c>
      <x:c r="P84" s="14" t="str"/>
      <x:c r="Q84" s="14" t="str">
        <x:v>data/hja-env_data_clean.csv</x:v>
      </x:c>
      <x:c r="R84" s="14" t="str">
        <x:v>131</x:v>
      </x:c>
      <x:c r="S84" s="14" t="str">
        <x:v>MATCHED</x:v>
      </x:c>
      <x:c r="T84" s="14" t="str"/>
      <x:c r="U84" s="14" t="str"/>
      <x:c r="V84" s="14" t="str"/>
    </x:row>
    <x:row r="85" ht="20" customHeight="1">
      <x:c r="A85" s="14" t="str">
        <x:v>hja2016_151</x:v>
      </x:c>
      <x:c r="B85" s="14" t="str">
        <x:v>2016</x:v>
      </x:c>
      <x:c r="C85" s="14" t="str">
        <x:v>HJA2016_Plate1</x:v>
      </x:c>
      <x:c r="D85" s="14" t="str">
        <x:v>Plate1</x:v>
      </x:c>
      <x:c r="E85" s="14" t="str">
        <x:v>S39</x:v>
      </x:c>
      <x:c r="F85" s="14" t="str">
        <x:v>64</x:v>
      </x:c>
      <x:c r="G85" s="14" t="str">
        <x:v>64</x:v>
      </x:c>
      <x:c r="H85" s="14" t="str">
        <x:v>Sediment</x:v>
      </x:c>
      <x:c r="I85" s="14" t="str">
        <x:v>stream sediment</x:v>
      </x:c>
      <x:c r="J85" s="14" t="str">
        <x:v>GSF2238-Lennon-Plate1-hja2016_151_S39_L001_R1_001.fastq.gz</x:v>
      </x:c>
      <x:c r="K85" s="14" t="str">
        <x:v>GSF2238-Lennon-Plate1-hja2016_151_S39_L001_R2_001.fastq.gz</x:v>
      </x:c>
      <x:c r="L85" s="14" t="str">
        <x:v>sequences/GSF2238-Lennon-Plate1-hja2016_151_S39_L001_R1_001.fastq.gz</x:v>
      </x:c>
      <x:c r="M85" s="14" t="str">
        <x:v>sequences/GSF2238-Lennon-Plate1-hja2016_151_S39_L001_R2_001.fastq.gz</x:v>
      </x:c>
      <x:c r="N85" s="14" t="str">
        <x:v>TRUE</x:v>
      </x:c>
      <x:c r="O85" s="14" t="str">
        <x:v>FALSE</x:v>
      </x:c>
      <x:c r="P85" s="14" t="str"/>
      <x:c r="Q85" s="14" t="str">
        <x:v>data/hja-env_data_clean.csv</x:v>
      </x:c>
      <x:c r="R85" s="14" t="str">
        <x:v>138</x:v>
      </x:c>
      <x:c r="S85" s="14" t="str">
        <x:v>MATCHED</x:v>
      </x:c>
      <x:c r="T85" s="14" t="str"/>
      <x:c r="U85" s="14" t="str"/>
      <x:c r="V85" s="14" t="str"/>
    </x:row>
    <x:row r="86" ht="20" customHeight="1">
      <x:c r="A86" s="14" t="str">
        <x:v>hja2016_152</x:v>
      </x:c>
      <x:c r="B86" s="14" t="str">
        <x:v>2016</x:v>
      </x:c>
      <x:c r="C86" s="14" t="str">
        <x:v>HJA2016_Plate1</x:v>
      </x:c>
      <x:c r="D86" s="14" t="str">
        <x:v>Plate1</x:v>
      </x:c>
      <x:c r="E86" s="14" t="str">
        <x:v>S40</x:v>
      </x:c>
      <x:c r="F86" s="14" t="str">
        <x:v>66</x:v>
      </x:c>
      <x:c r="G86" s="14" t="str">
        <x:v>66</x:v>
      </x:c>
      <x:c r="H86" s="14" t="str">
        <x:v>Sediment</x:v>
      </x:c>
      <x:c r="I86" s="14" t="str">
        <x:v>stream sediment</x:v>
      </x:c>
      <x:c r="J86" s="14" t="str">
        <x:v>GSF2238-Lennon-Plate1-hja2016_152_S40_L001_R1_001.fastq.gz</x:v>
      </x:c>
      <x:c r="K86" s="14" t="str">
        <x:v>GSF2238-Lennon-Plate1-hja2016_152_S40_L001_R2_001.fastq.gz</x:v>
      </x:c>
      <x:c r="L86" s="14" t="str">
        <x:v>sequences/GSF2238-Lennon-Plate1-hja2016_152_S40_L001_R1_001.fastq.gz</x:v>
      </x:c>
      <x:c r="M86" s="14" t="str">
        <x:v>sequences/GSF2238-Lennon-Plate1-hja2016_152_S40_L001_R2_001.fastq.gz</x:v>
      </x:c>
      <x:c r="N86" s="14" t="str">
        <x:v>TRUE</x:v>
      </x:c>
      <x:c r="O86" s="14" t="str">
        <x:v>FALSE</x:v>
      </x:c>
      <x:c r="P86" s="14" t="str"/>
      <x:c r="Q86" s="14" t="str">
        <x:v>data/hja-env_data_clean.csv</x:v>
      </x:c>
      <x:c r="R86" s="14" t="str">
        <x:v>140</x:v>
      </x:c>
      <x:c r="S86" s="14" t="str">
        <x:v>MATCHED</x:v>
      </x:c>
      <x:c r="T86" s="14" t="str"/>
      <x:c r="U86" s="14" t="str"/>
      <x:c r="V86" s="14" t="str"/>
    </x:row>
    <x:row r="87" ht="20" customHeight="1">
      <x:c r="A87" s="14" t="str">
        <x:v>hja2016_155</x:v>
      </x:c>
      <x:c r="B87" s="14" t="str">
        <x:v>2016</x:v>
      </x:c>
      <x:c r="C87" s="14" t="str">
        <x:v>HJA2016_Plate1</x:v>
      </x:c>
      <x:c r="D87" s="14" t="str">
        <x:v>Plate1</x:v>
      </x:c>
      <x:c r="E87" s="14" t="str">
        <x:v>S41</x:v>
      </x:c>
      <x:c r="F87" s="14" t="str">
        <x:v>82</x:v>
      </x:c>
      <x:c r="G87" s="14" t="str">
        <x:v>82</x:v>
      </x:c>
      <x:c r="H87" s="14" t="str">
        <x:v>Sediment</x:v>
      </x:c>
      <x:c r="I87" s="14" t="str">
        <x:v>stream sediment</x:v>
      </x:c>
      <x:c r="J87" s="14" t="str">
        <x:v>GSF2238-Lennon-Plate1-hja2016_155_S41_L001_R1_001.fastq.gz</x:v>
      </x:c>
      <x:c r="K87" s="14" t="str">
        <x:v>GSF2238-Lennon-Plate1-hja2016_155_S41_L001_R2_001.fastq.gz</x:v>
      </x:c>
      <x:c r="L87" s="14" t="str">
        <x:v>sequences/GSF2238-Lennon-Plate1-hja2016_155_S41_L001_R1_001.fastq.gz</x:v>
      </x:c>
      <x:c r="M87" s="14" t="str">
        <x:v>sequences/GSF2238-Lennon-Plate1-hja2016_155_S41_L001_R2_001.fastq.gz</x:v>
      </x:c>
      <x:c r="N87" s="14" t="str">
        <x:v>TRUE</x:v>
      </x:c>
      <x:c r="O87" s="14" t="str">
        <x:v>FALSE</x:v>
      </x:c>
      <x:c r="P87" s="14" t="str"/>
      <x:c r="Q87" s="14" t="str">
        <x:v>data/hja-env_data_clean.csv</x:v>
      </x:c>
      <x:c r="R87" s="14" t="str">
        <x:v>148</x:v>
      </x:c>
      <x:c r="S87" s="14" t="str">
        <x:v>MATCHED</x:v>
      </x:c>
      <x:c r="T87" s="14" t="str"/>
      <x:c r="U87" s="14" t="str"/>
      <x:c r="V87" s="14" t="str"/>
    </x:row>
    <x:row r="88" ht="20" customHeight="1">
      <x:c r="A88" s="14" t="str">
        <x:v>hja2016_157</x:v>
      </x:c>
      <x:c r="B88" s="14" t="str">
        <x:v>2016</x:v>
      </x:c>
      <x:c r="C88" s="14" t="str">
        <x:v>HJA2016_Plate1</x:v>
      </x:c>
      <x:c r="D88" s="14" t="str">
        <x:v>Plate1</x:v>
      </x:c>
      <x:c r="E88" s="14" t="str">
        <x:v>S42</x:v>
      </x:c>
      <x:c r="F88" s="14" t="str">
        <x:v>43</x:v>
      </x:c>
      <x:c r="G88" s="14" t="str">
        <x:v>43</x:v>
      </x:c>
      <x:c r="H88" s="14" t="str">
        <x:v>Sediment</x:v>
      </x:c>
      <x:c r="I88" s="14" t="str">
        <x:v>stream sediment</x:v>
      </x:c>
      <x:c r="J88" s="14" t="str">
        <x:v>GSF2238-Lennon-Plate1-hja2016_157_S42_L001_R1_001.fastq.gz</x:v>
      </x:c>
      <x:c r="K88" s="14" t="str">
        <x:v>GSF2238-Lennon-Plate1-hja2016_157_S42_L001_R2_001.fastq.gz</x:v>
      </x:c>
      <x:c r="L88" s="14" t="str">
        <x:v>sequences/GSF2238-Lennon-Plate1-hja2016_157_S42_L001_R1_001.fastq.gz</x:v>
      </x:c>
      <x:c r="M88" s="14" t="str">
        <x:v>sequences/GSF2238-Lennon-Plate1-hja2016_157_S42_L001_R2_001.fastq.gz</x:v>
      </x:c>
      <x:c r="N88" s="14" t="str">
        <x:v>TRUE</x:v>
      </x:c>
      <x:c r="O88" s="14" t="str">
        <x:v>FALSE</x:v>
      </x:c>
      <x:c r="P88" s="14" t="str"/>
      <x:c r="Q88" s="14" t="str">
        <x:v>data/hja-env_data_clean.csv</x:v>
      </x:c>
      <x:c r="R88" s="14" t="str">
        <x:v>126</x:v>
      </x:c>
      <x:c r="S88" s="14" t="str">
        <x:v>MATCHED</x:v>
      </x:c>
      <x:c r="T88" s="14" t="str"/>
      <x:c r="U88" s="14" t="str"/>
      <x:c r="V88" s="14" t="str"/>
    </x:row>
    <x:row r="89" ht="20" customHeight="1">
      <x:c r="A89" s="14" t="str">
        <x:v>hja2016_158</x:v>
      </x:c>
      <x:c r="B89" s="14" t="str">
        <x:v>2016</x:v>
      </x:c>
      <x:c r="C89" s="14" t="str">
        <x:v>HJA2016_Plate1</x:v>
      </x:c>
      <x:c r="D89" s="14" t="str">
        <x:v>Plate1</x:v>
      </x:c>
      <x:c r="E89" s="14" t="str">
        <x:v>S43</x:v>
      </x:c>
      <x:c r="F89" s="14" t="str">
        <x:v>47</x:v>
      </x:c>
      <x:c r="G89" s="14" t="str">
        <x:v>47</x:v>
      </x:c>
      <x:c r="H89" s="14" t="str">
        <x:v>Sediment</x:v>
      </x:c>
      <x:c r="I89" s="14" t="str">
        <x:v>stream sediment</x:v>
      </x:c>
      <x:c r="J89" s="14" t="str">
        <x:v>GSF2238-Lennon-Plate1-hja2016_158_S43_L001_R1_001.fastq.gz</x:v>
      </x:c>
      <x:c r="K89" s="14" t="str">
        <x:v>GSF2238-Lennon-Plate1-hja2016_158_S43_L001_R2_001.fastq.gz</x:v>
      </x:c>
      <x:c r="L89" s="14" t="str">
        <x:v>sequences/GSF2238-Lennon-Plate1-hja2016_158_S43_L001_R1_001.fastq.gz</x:v>
      </x:c>
      <x:c r="M89" s="14" t="str">
        <x:v>sequences/GSF2238-Lennon-Plate1-hja2016_158_S43_L001_R2_001.fastq.gz</x:v>
      </x:c>
      <x:c r="N89" s="14" t="str">
        <x:v>TRUE</x:v>
      </x:c>
      <x:c r="O89" s="14" t="str">
        <x:v>FALSE</x:v>
      </x:c>
      <x:c r="P89" s="14" t="str"/>
      <x:c r="Q89" s="14" t="str">
        <x:v>data/hja-env_data_clean.csv</x:v>
      </x:c>
      <x:c r="R89" s="14" t="str">
        <x:v>128</x:v>
      </x:c>
      <x:c r="S89" s="14" t="str">
        <x:v>MATCHED</x:v>
      </x:c>
      <x:c r="T89" s="14" t="str"/>
      <x:c r="U89" s="14" t="str"/>
      <x:c r="V89" s="14" t="str"/>
    </x:row>
    <x:row r="90" ht="20" customHeight="1">
      <x:c r="A90" s="14" t="str">
        <x:v>hja2016_159</x:v>
      </x:c>
      <x:c r="B90" s="14" t="str">
        <x:v>2016</x:v>
      </x:c>
      <x:c r="C90" s="14" t="str">
        <x:v>HJA2016_Plate1</x:v>
      </x:c>
      <x:c r="D90" s="14" t="str">
        <x:v>Plate1</x:v>
      </x:c>
      <x:c r="E90" s="14" t="str">
        <x:v>S44</x:v>
      </x:c>
      <x:c r="F90" s="14" t="str">
        <x:v>49</x:v>
      </x:c>
      <x:c r="G90" s="14" t="str">
        <x:v>49</x:v>
      </x:c>
      <x:c r="H90" s="14" t="str">
        <x:v>Sediment</x:v>
      </x:c>
      <x:c r="I90" s="14" t="str">
        <x:v>stream sediment</x:v>
      </x:c>
      <x:c r="J90" s="14" t="str">
        <x:v>GSF2238-Lennon-Plate1-hja2016_159_S44_L001_R1_001.fastq.gz</x:v>
      </x:c>
      <x:c r="K90" s="14" t="str">
        <x:v>GSF2238-Lennon-Plate1-hja2016_159_S44_L001_R2_001.fastq.gz</x:v>
      </x:c>
      <x:c r="L90" s="14" t="str">
        <x:v>sequences/GSF2238-Lennon-Plate1-hja2016_159_S44_L001_R1_001.fastq.gz</x:v>
      </x:c>
      <x:c r="M90" s="14" t="str">
        <x:v>sequences/GSF2238-Lennon-Plate1-hja2016_159_S44_L001_R2_001.fastq.gz</x:v>
      </x:c>
      <x:c r="N90" s="14" t="str">
        <x:v>TRUE</x:v>
      </x:c>
      <x:c r="O90" s="14" t="str">
        <x:v>FALSE</x:v>
      </x:c>
      <x:c r="P90" s="14" t="str"/>
      <x:c r="Q90" s="14" t="str">
        <x:v>data/hja-env_data_clean.csv</x:v>
      </x:c>
      <x:c r="R90" s="14" t="str">
        <x:v>129</x:v>
      </x:c>
      <x:c r="S90" s="14" t="str">
        <x:v>MATCHED</x:v>
      </x:c>
      <x:c r="T90" s="14" t="str"/>
      <x:c r="U90" s="14" t="str"/>
      <x:c r="V90" s="14" t="str"/>
    </x:row>
    <x:row r="91" ht="20" customHeight="1">
      <x:c r="A91" s="14" t="str">
        <x:v>hja2016_160</x:v>
      </x:c>
      <x:c r="B91" s="14" t="str">
        <x:v>2016</x:v>
      </x:c>
      <x:c r="C91" s="14" t="str">
        <x:v>HJA2016_Plate1</x:v>
      </x:c>
      <x:c r="D91" s="14" t="str">
        <x:v>Plate1</x:v>
      </x:c>
      <x:c r="E91" s="14" t="str">
        <x:v>S45</x:v>
      </x:c>
      <x:c r="F91" s="14" t="str">
        <x:v>50</x:v>
      </x:c>
      <x:c r="G91" s="14" t="str">
        <x:v>50</x:v>
      </x:c>
      <x:c r="H91" s="14" t="str">
        <x:v>Sediment</x:v>
      </x:c>
      <x:c r="I91" s="14" t="str">
        <x:v>stream sediment</x:v>
      </x:c>
      <x:c r="J91" s="14" t="str">
        <x:v>GSF2238-Lennon-Plate1-hja2016_160_S45_L001_R1_001.fastq.gz</x:v>
      </x:c>
      <x:c r="K91" s="14" t="str">
        <x:v>GSF2238-Lennon-Plate1-hja2016_160_S45_L001_R2_001.fastq.gz</x:v>
      </x:c>
      <x:c r="L91" s="14" t="str">
        <x:v>sequences/GSF2238-Lennon-Plate1-hja2016_160_S45_L001_R1_001.fastq.gz</x:v>
      </x:c>
      <x:c r="M91" s="14" t="str">
        <x:v>sequences/GSF2238-Lennon-Plate1-hja2016_160_S45_L001_R2_001.fastq.gz</x:v>
      </x:c>
      <x:c r="N91" s="14" t="str">
        <x:v>TRUE</x:v>
      </x:c>
      <x:c r="O91" s="14" t="str">
        <x:v>FALSE</x:v>
      </x:c>
      <x:c r="P91" s="14" t="str"/>
      <x:c r="Q91" s="14" t="str">
        <x:v>data/hja-env_data_clean.csv</x:v>
      </x:c>
      <x:c r="R91" s="14" t="str">
        <x:v>130</x:v>
      </x:c>
      <x:c r="S91" s="14" t="str">
        <x:v>MATCHED</x:v>
      </x:c>
      <x:c r="T91" s="14" t="str"/>
      <x:c r="U91" s="14" t="str"/>
      <x:c r="V91" s="14" t="str"/>
    </x:row>
    <x:row r="92" ht="20" customHeight="1">
      <x:c r="A92" s="14" t="str">
        <x:v>hja2016_161</x:v>
      </x:c>
      <x:c r="B92" s="14" t="str">
        <x:v>2016</x:v>
      </x:c>
      <x:c r="C92" s="14" t="str">
        <x:v>HJA2016_Plate2</x:v>
      </x:c>
      <x:c r="D92" s="14" t="str">
        <x:v>Plate2</x:v>
      </x:c>
      <x:c r="E92" s="14" t="str">
        <x:v>S37</x:v>
      </x:c>
      <x:c r="F92" s="14" t="str">
        <x:v>65</x:v>
      </x:c>
      <x:c r="G92" s="14" t="str">
        <x:v>65</x:v>
      </x:c>
      <x:c r="H92" s="14" t="str">
        <x:v>Sediment</x:v>
      </x:c>
      <x:c r="I92" s="14" t="str">
        <x:v>stream sediment</x:v>
      </x:c>
      <x:c r="J92" s="14" t="str">
        <x:v>GSF2238-Lennon-Plate2-hja2016_161_S37_L001_R1_001.fastq.gz</x:v>
      </x:c>
      <x:c r="K92" s="14" t="str">
        <x:v>GSF2238-Lennon-Plate2-hja2016_161_S37_L001_R2_001.fastq.gz</x:v>
      </x:c>
      <x:c r="L92" s="14" t="str">
        <x:v>sequences/GSF2238-Lennon-Plate2-hja2016_161_S37_L001_R1_001.fastq.gz</x:v>
      </x:c>
      <x:c r="M92" s="14" t="str">
        <x:v>sequences/GSF2238-Lennon-Plate2-hja2016_161_S37_L001_R2_001.fastq.gz</x:v>
      </x:c>
      <x:c r="N92" s="14" t="str">
        <x:v>TRUE</x:v>
      </x:c>
      <x:c r="O92" s="14" t="str">
        <x:v>FALSE</x:v>
      </x:c>
      <x:c r="P92" s="14" t="str"/>
      <x:c r="Q92" s="14" t="str">
        <x:v>data/hja-env_data_clean.csv</x:v>
      </x:c>
      <x:c r="R92" s="14" t="str">
        <x:v>139</x:v>
      </x:c>
      <x:c r="S92" s="14" t="str">
        <x:v>MATCHED</x:v>
      </x:c>
      <x:c r="T92" s="14" t="str"/>
      <x:c r="U92" s="14" t="str"/>
      <x:c r="V92" s="14" t="str"/>
    </x:row>
    <x:row r="93" ht="20" customHeight="1">
      <x:c r="A93" s="14" t="str">
        <x:v>hja2016_164</x:v>
      </x:c>
      <x:c r="B93" s="14" t="str">
        <x:v>2016</x:v>
      </x:c>
      <x:c r="C93" s="14" t="str">
        <x:v>HJA2016_Plate2</x:v>
      </x:c>
      <x:c r="D93" s="14" t="str">
        <x:v>Plate2</x:v>
      </x:c>
      <x:c r="E93" s="14" t="str">
        <x:v>S38</x:v>
      </x:c>
      <x:c r="F93" s="14" t="str">
        <x:v>260</x:v>
      </x:c>
      <x:c r="G93" s="14" t="str">
        <x:v>260</x:v>
      </x:c>
      <x:c r="H93" s="14" t="str">
        <x:v>Sediment</x:v>
      </x:c>
      <x:c r="I93" s="14" t="str">
        <x:v>stream sediment</x:v>
      </x:c>
      <x:c r="J93" s="14" t="str">
        <x:v>GSF2238-Lennon-Plate2-hja2016_164_S38_L001_R1_001.fastq.gz</x:v>
      </x:c>
      <x:c r="K93" s="14" t="str">
        <x:v>GSF2238-Lennon-Plate2-hja2016_164_S38_L001_R2_001.fastq.gz</x:v>
      </x:c>
      <x:c r="L93" s="14" t="str">
        <x:v>sequences/GSF2238-Lennon-Plate2-hja2016_164_S38_L001_R1_001.fastq.gz</x:v>
      </x:c>
      <x:c r="M93" s="14" t="str">
        <x:v>sequences/GSF2238-Lennon-Plate2-hja2016_164_S38_L001_R2_001.fastq.gz</x:v>
      </x:c>
      <x:c r="N93" s="14" t="str">
        <x:v>TRUE</x:v>
      </x:c>
      <x:c r="O93" s="14" t="str">
        <x:v>FALSE</x:v>
      </x:c>
      <x:c r="P93" s="14" t="str"/>
      <x:c r="Q93" s="14" t="str">
        <x:v>data/hja-env_data_clean.csv</x:v>
      </x:c>
      <x:c r="R93" s="14" t="str">
        <x:v>165</x:v>
      </x:c>
      <x:c r="S93" s="14" t="str">
        <x:v>MATCHED</x:v>
      </x:c>
      <x:c r="T93" s="14" t="str"/>
      <x:c r="U93" s="14" t="str"/>
      <x:c r="V93" s="14" t="str"/>
    </x:row>
    <x:row r="94" ht="20" customHeight="1">
      <x:c r="A94" s="14" t="str">
        <x:v>hja2016_165</x:v>
      </x:c>
      <x:c r="B94" s="14" t="str">
        <x:v>2016</x:v>
      </x:c>
      <x:c r="C94" s="14" t="str">
        <x:v>HJA2016_Plate2</x:v>
      </x:c>
      <x:c r="D94" s="14" t="str">
        <x:v>Plate2</x:v>
      </x:c>
      <x:c r="E94" s="14" t="str">
        <x:v>S39</x:v>
      </x:c>
      <x:c r="F94" s="14" t="str">
        <x:v>360</x:v>
      </x:c>
      <x:c r="G94" s="14" t="str">
        <x:v>360</x:v>
      </x:c>
      <x:c r="H94" s="14" t="str">
        <x:v>Sediment</x:v>
      </x:c>
      <x:c r="I94" s="14" t="str">
        <x:v>stream sediment</x:v>
      </x:c>
      <x:c r="J94" s="14" t="str">
        <x:v>GSF2238-Lennon-Plate2-hja2016_165_S39_L001_R1_001.fastq.gz</x:v>
      </x:c>
      <x:c r="K94" s="14" t="str">
        <x:v>GSF2238-Lennon-Plate2-hja2016_165_S39_L001_R2_001.fastq.gz</x:v>
      </x:c>
      <x:c r="L94" s="14" t="str">
        <x:v>sequences/GSF2238-Lennon-Plate2-hja2016_165_S39_L001_R1_001.fastq.gz</x:v>
      </x:c>
      <x:c r="M94" s="14" t="str">
        <x:v>sequences/GSF2238-Lennon-Plate2-hja2016_165_S39_L001_R2_001.fastq.gz</x:v>
      </x:c>
      <x:c r="N94" s="14" t="str">
        <x:v>TRUE</x:v>
      </x:c>
      <x:c r="O94" s="14" t="str">
        <x:v>FALSE</x:v>
      </x:c>
      <x:c r="P94" s="14" t="str"/>
      <x:c r="Q94" s="14" t="str">
        <x:v>data/hja-env_data_clean.csv</x:v>
      </x:c>
      <x:c r="R94" s="14" t="str">
        <x:v>166</x:v>
      </x:c>
      <x:c r="S94" s="14" t="str">
        <x:v>MATCHED</x:v>
      </x:c>
      <x:c r="T94" s="14" t="str"/>
      <x:c r="U94" s="14" t="str"/>
      <x:c r="V94" s="14" t="str"/>
    </x:row>
    <x:row r="95" ht="20" customHeight="1">
      <x:c r="A95" s="14" t="str">
        <x:v>hja2016_166</x:v>
      </x:c>
      <x:c r="B95" s="14" t="str">
        <x:v>2016</x:v>
      </x:c>
      <x:c r="C95" s="14" t="str">
        <x:v>HJA2016_Plate2</x:v>
      </x:c>
      <x:c r="D95" s="14" t="str">
        <x:v>Plate2</x:v>
      </x:c>
      <x:c r="E95" s="14" t="str">
        <x:v>S40</x:v>
      </x:c>
      <x:c r="F95" s="14" t="str">
        <x:v>57</x:v>
      </x:c>
      <x:c r="G95" s="14" t="str">
        <x:v>57</x:v>
      </x:c>
      <x:c r="H95" s="14" t="str">
        <x:v>Sediment</x:v>
      </x:c>
      <x:c r="I95" s="14" t="str">
        <x:v>stream sediment</x:v>
      </x:c>
      <x:c r="J95" s="14" t="str">
        <x:v>GSF2238-Lennon-Plate2-hja2016_166_S40_L001_R1_001.fastq.gz</x:v>
      </x:c>
      <x:c r="K95" s="14" t="str">
        <x:v>GSF2238-Lennon-Plate2-hja2016_166_S40_L001_R2_001.fastq.gz</x:v>
      </x:c>
      <x:c r="L95" s="14" t="str">
        <x:v>sequences/GSF2238-Lennon-Plate2-hja2016_166_S40_L001_R1_001.fastq.gz</x:v>
      </x:c>
      <x:c r="M95" s="14" t="str">
        <x:v>sequences/GSF2238-Lennon-Plate2-hja2016_166_S40_L001_R2_001.fastq.gz</x:v>
      </x:c>
      <x:c r="N95" s="14" t="str">
        <x:v>TRUE</x:v>
      </x:c>
      <x:c r="O95" s="14" t="str">
        <x:v>FALSE</x:v>
      </x:c>
      <x:c r="P95" s="14" t="str"/>
      <x:c r="Q95" s="14" t="str">
        <x:v>data/hja-env_data_clean.csv</x:v>
      </x:c>
      <x:c r="R95" s="14" t="str">
        <x:v>135</x:v>
      </x:c>
      <x:c r="S95" s="14" t="str">
        <x:v>MATCHED</x:v>
      </x:c>
      <x:c r="T95" s="14" t="str"/>
      <x:c r="U95" s="14" t="str"/>
      <x:c r="V95" s="14" t="str"/>
    </x:row>
    <x:row r="96" ht="20" customHeight="1">
      <x:c r="A96" s="14" t="str">
        <x:v>hja2016_167</x:v>
      </x:c>
      <x:c r="B96" s="14" t="str">
        <x:v>2016</x:v>
      </x:c>
      <x:c r="C96" s="14" t="str">
        <x:v>HJA2016_Plate2</x:v>
      </x:c>
      <x:c r="D96" s="14" t="str">
        <x:v>Plate2</x:v>
      </x:c>
      <x:c r="E96" s="14" t="str">
        <x:v>S41</x:v>
      </x:c>
      <x:c r="F96" s="14" t="str">
        <x:v>WS3-1</x:v>
      </x:c>
      <x:c r="G96" s="14" t="str">
        <x:v>WS3-1</x:v>
      </x:c>
      <x:c r="H96" s="14" t="str">
        <x:v>Sediment</x:v>
      </x:c>
      <x:c r="I96" s="14" t="str">
        <x:v>stream sediment</x:v>
      </x:c>
      <x:c r="J96" s="14" t="str">
        <x:v>GSF2238-Lennon-Plate2-hja2016_167_S41_L001_R1_001.fastq.gz</x:v>
      </x:c>
      <x:c r="K96" s="14" t="str">
        <x:v>GSF2238-Lennon-Plate2-hja2016_167_S41_L001_R2_001.fastq.gz</x:v>
      </x:c>
      <x:c r="L96" s="14" t="str">
        <x:v>sequences/GSF2238-Lennon-Plate2-hja2016_167_S41_L001_R1_001.fastq.gz</x:v>
      </x:c>
      <x:c r="M96" s="14" t="str">
        <x:v>sequences/GSF2238-Lennon-Plate2-hja2016_167_S41_L001_R2_001.fastq.gz</x:v>
      </x:c>
      <x:c r="N96" s="14" t="str">
        <x:v>TRUE</x:v>
      </x:c>
      <x:c r="O96" s="14" t="str">
        <x:v>FALSE</x:v>
      </x:c>
      <x:c r="P96" s="14" t="str"/>
      <x:c r="Q96" s="14" t="str">
        <x:v>data/hja-env_data_clean.csv</x:v>
      </x:c>
      <x:c r="R96" s="14" t="str">
        <x:v>182</x:v>
      </x:c>
      <x:c r="S96" s="14" t="str">
        <x:v>MATCHED</x:v>
      </x:c>
      <x:c r="T96" s="14" t="str"/>
      <x:c r="U96" s="14" t="str"/>
      <x:c r="V96" s="14" t="str"/>
    </x:row>
    <x:row r="97" ht="20" customHeight="1">
      <x:c r="A97" s="14" t="str">
        <x:v>hja2016_168</x:v>
      </x:c>
      <x:c r="B97" s="14" t="str">
        <x:v>2016</x:v>
      </x:c>
      <x:c r="C97" s="14" t="str">
        <x:v>HJA2016_Plate2</x:v>
      </x:c>
      <x:c r="D97" s="14" t="str">
        <x:v>Plate2</x:v>
      </x:c>
      <x:c r="E97" s="14" t="str">
        <x:v>S42</x:v>
      </x:c>
      <x:c r="F97" s="14" t="str">
        <x:v>WS3-4</x:v>
      </x:c>
      <x:c r="G97" s="14" t="str">
        <x:v>WS3-4</x:v>
      </x:c>
      <x:c r="H97" s="14" t="str">
        <x:v>Sediment</x:v>
      </x:c>
      <x:c r="I97" s="14" t="str">
        <x:v>stream sediment</x:v>
      </x:c>
      <x:c r="J97" s="14" t="str">
        <x:v>GSF2238-Lennon-Plate2-hja2016_168_S42_L001_R1_001.fastq.gz</x:v>
      </x:c>
      <x:c r="K97" s="14" t="str">
        <x:v>GSF2238-Lennon-Plate2-hja2016_168_S42_L001_R2_001.fastq.gz</x:v>
      </x:c>
      <x:c r="L97" s="14" t="str">
        <x:v>sequences/GSF2238-Lennon-Plate2-hja2016_168_S42_L001_R1_001.fastq.gz</x:v>
      </x:c>
      <x:c r="M97" s="14" t="str">
        <x:v>sequences/GSF2238-Lennon-Plate2-hja2016_168_S42_L001_R2_001.fastq.gz</x:v>
      </x:c>
      <x:c r="N97" s="14" t="str">
        <x:v>TRUE</x:v>
      </x:c>
      <x:c r="O97" s="14" t="str">
        <x:v>FALSE</x:v>
      </x:c>
      <x:c r="P97" s="14" t="str"/>
      <x:c r="Q97" s="14" t="str">
        <x:v>data/hja-env_data_clean.csv</x:v>
      </x:c>
      <x:c r="R97" s="14" t="str">
        <x:v>185</x:v>
      </x:c>
      <x:c r="S97" s="14" t="str">
        <x:v>MATCHED</x:v>
      </x:c>
      <x:c r="T97" s="14" t="str"/>
      <x:c r="U97" s="14" t="str"/>
      <x:c r="V97" s="14" t="str"/>
    </x:row>
    <x:row r="98" ht="20" customHeight="1">
      <x:c r="A98" s="14" t="str">
        <x:v>hja2016_169</x:v>
      </x:c>
      <x:c r="B98" s="14" t="str">
        <x:v>2016</x:v>
      </x:c>
      <x:c r="C98" s="14" t="str">
        <x:v>HJA2016_Plate2</x:v>
      </x:c>
      <x:c r="D98" s="14" t="str">
        <x:v>Plate2</x:v>
      </x:c>
      <x:c r="E98" s="14" t="str">
        <x:v>S43</x:v>
      </x:c>
      <x:c r="F98" s="14" t="str">
        <x:v>WS3-2</x:v>
      </x:c>
      <x:c r="G98" s="14" t="str">
        <x:v>WS3-2</x:v>
      </x:c>
      <x:c r="H98" s="14" t="str">
        <x:v>Sediment</x:v>
      </x:c>
      <x:c r="I98" s="14" t="str">
        <x:v>stream sediment</x:v>
      </x:c>
      <x:c r="J98" s="14" t="str">
        <x:v>GSF2238-Lennon-Plate2-hja2016_169_S43_L001_R1_001.fastq.gz</x:v>
      </x:c>
      <x:c r="K98" s="14" t="str">
        <x:v>GSF2238-Lennon-Plate2-hja2016_169_S43_L001_R2_001.fastq.gz</x:v>
      </x:c>
      <x:c r="L98" s="14" t="str">
        <x:v>sequences/GSF2238-Lennon-Plate2-hja2016_169_S43_L001_R1_001.fastq.gz</x:v>
      </x:c>
      <x:c r="M98" s="14" t="str">
        <x:v>sequences/GSF2238-Lennon-Plate2-hja2016_169_S43_L001_R2_001.fastq.gz</x:v>
      </x:c>
      <x:c r="N98" s="14" t="str">
        <x:v>TRUE</x:v>
      </x:c>
      <x:c r="O98" s="14" t="str">
        <x:v>FALSE</x:v>
      </x:c>
      <x:c r="P98" s="14" t="str"/>
      <x:c r="Q98" s="14" t="str">
        <x:v>data/hja-env_data_clean.csv</x:v>
      </x:c>
      <x:c r="R98" s="14" t="str">
        <x:v>183</x:v>
      </x:c>
      <x:c r="S98" s="14" t="str">
        <x:v>MATCHED</x:v>
      </x:c>
      <x:c r="T98" s="14" t="str"/>
      <x:c r="U98" s="14" t="str"/>
      <x:c r="V98" s="14" t="str"/>
    </x:row>
    <x:row r="99" ht="20" customHeight="1">
      <x:c r="A99" s="14" t="str">
        <x:v>hja2016_170</x:v>
      </x:c>
      <x:c r="B99" s="14" t="str">
        <x:v>2016</x:v>
      </x:c>
      <x:c r="C99" s="14" t="str">
        <x:v>HJA2016_Plate2</x:v>
      </x:c>
      <x:c r="D99" s="14" t="str">
        <x:v>Plate2</x:v>
      </x:c>
      <x:c r="E99" s="14" t="str">
        <x:v>S44</x:v>
      </x:c>
      <x:c r="F99" s="14" t="str">
        <x:v>WS3-3</x:v>
      </x:c>
      <x:c r="G99" s="14" t="str">
        <x:v>WS3-3</x:v>
      </x:c>
      <x:c r="H99" s="14" t="str">
        <x:v>Sediment</x:v>
      </x:c>
      <x:c r="I99" s="14" t="str">
        <x:v>stream sediment</x:v>
      </x:c>
      <x:c r="J99" s="14" t="str">
        <x:v>GSF2238-Lennon-Plate2-hja2016_170_S44_L001_R1_001.fastq.gz</x:v>
      </x:c>
      <x:c r="K99" s="14" t="str">
        <x:v>GSF2238-Lennon-Plate2-hja2016_170_S44_L001_R2_001.fastq.gz</x:v>
      </x:c>
      <x:c r="L99" s="14" t="str">
        <x:v>sequences/GSF2238-Lennon-Plate2-hja2016_170_S44_L001_R1_001.fastq.gz</x:v>
      </x:c>
      <x:c r="M99" s="14" t="str">
        <x:v>sequences/GSF2238-Lennon-Plate2-hja2016_170_S44_L001_R2_001.fastq.gz</x:v>
      </x:c>
      <x:c r="N99" s="14" t="str">
        <x:v>TRUE</x:v>
      </x:c>
      <x:c r="O99" s="14" t="str">
        <x:v>FALSE</x:v>
      </x:c>
      <x:c r="P99" s="14" t="str"/>
      <x:c r="Q99" s="14" t="str">
        <x:v>data/hja-env_data_clean.csv</x:v>
      </x:c>
      <x:c r="R99" s="14" t="str">
        <x:v>184</x:v>
      </x:c>
      <x:c r="S99" s="14" t="str">
        <x:v>MATCHED</x:v>
      </x:c>
      <x:c r="T99" s="14" t="str"/>
      <x:c r="U99" s="14" t="str"/>
      <x:c r="V99" s="14" t="str"/>
    </x:row>
    <x:row r="100" ht="20" customHeight="1">
      <x:c r="A100" s="14" t="str">
        <x:v>hja2016_171</x:v>
      </x:c>
      <x:c r="B100" s="14" t="str">
        <x:v>2016</x:v>
      </x:c>
      <x:c r="C100" s="14" t="str">
        <x:v>HJA2016_Plate2</x:v>
      </x:c>
      <x:c r="D100" s="14" t="str">
        <x:v>Plate2</x:v>
      </x:c>
      <x:c r="E100" s="14" t="str">
        <x:v>S45</x:v>
      </x:c>
      <x:c r="F100" s="14" t="str">
        <x:v>WS3-5</x:v>
      </x:c>
      <x:c r="G100" s="14" t="str">
        <x:v>WS3-5</x:v>
      </x:c>
      <x:c r="H100" s="14" t="str">
        <x:v>Sediment</x:v>
      </x:c>
      <x:c r="I100" s="14" t="str">
        <x:v>stream sediment</x:v>
      </x:c>
      <x:c r="J100" s="14" t="str">
        <x:v>GSF2238-Lennon-Plate2-hja2016_171_S45_L001_R1_001.fastq.gz</x:v>
      </x:c>
      <x:c r="K100" s="14" t="str">
        <x:v>GSF2238-Lennon-Plate2-hja2016_171_S45_L001_R2_001.fastq.gz</x:v>
      </x:c>
      <x:c r="L100" s="14" t="str">
        <x:v>sequences/GSF2238-Lennon-Plate2-hja2016_171_S45_L001_R1_001.fastq.gz</x:v>
      </x:c>
      <x:c r="M100" s="14" t="str">
        <x:v>sequences/GSF2238-Lennon-Plate2-hja2016_171_S45_L001_R2_001.fastq.gz</x:v>
      </x:c>
      <x:c r="N100" s="14" t="str">
        <x:v>TRUE</x:v>
      </x:c>
      <x:c r="O100" s="14" t="str">
        <x:v>FALSE</x:v>
      </x:c>
      <x:c r="P100" s="14" t="str"/>
      <x:c r="Q100" s="14" t="str">
        <x:v>data/hja-env_data_clean.csv</x:v>
      </x:c>
      <x:c r="R100" s="14" t="str">
        <x:v>186</x:v>
      </x:c>
      <x:c r="S100" s="14" t="str">
        <x:v>MATCHED</x:v>
      </x:c>
      <x:c r="T100" s="14" t="str"/>
      <x:c r="U100" s="14" t="str"/>
      <x:c r="V100" s="14" t="str"/>
    </x:row>
    <x:row r="101" ht="20" customHeight="1">
      <x:c r="A101" s="14" t="str">
        <x:v>hja2016_174</x:v>
      </x:c>
      <x:c r="B101" s="14" t="str">
        <x:v>2016</x:v>
      </x:c>
      <x:c r="C101" s="14" t="str">
        <x:v>HJA2016_Plate2</x:v>
      </x:c>
      <x:c r="D101" s="14" t="str">
        <x:v>Plate2</x:v>
      </x:c>
      <x:c r="E101" s="14" t="str">
        <x:v>S46</x:v>
      </x:c>
      <x:c r="F101" s="14" t="str">
        <x:v>WS1_S8</x:v>
      </x:c>
      <x:c r="G101" s="14" t="str">
        <x:v>WS1-8</x:v>
      </x:c>
      <x:c r="H101" s="14" t="str">
        <x:v>Sediment</x:v>
      </x:c>
      <x:c r="I101" s="14" t="str">
        <x:v>stream sediment</x:v>
      </x:c>
      <x:c r="J101" s="14" t="str">
        <x:v>GSF2238-Lennon-Plate2-hja2016_174_S46_L001_R1_001.fastq.gz</x:v>
      </x:c>
      <x:c r="K101" s="14" t="str">
        <x:v>GSF2238-Lennon-Plate2-hja2016_174_S46_L001_R2_001.fastq.gz</x:v>
      </x:c>
      <x:c r="L101" s="14" t="str">
        <x:v>sequences/GSF2238-Lennon-Plate2-hja2016_174_S46_L001_R1_001.fastq.gz</x:v>
      </x:c>
      <x:c r="M101" s="14" t="str">
        <x:v>sequences/GSF2238-Lennon-Plate2-hja2016_174_S46_L001_R2_001.fastq.gz</x:v>
      </x:c>
      <x:c r="N101" s="14" t="str">
        <x:v>TRUE</x:v>
      </x:c>
      <x:c r="O101" s="14" t="str">
        <x:v>FALSE</x:v>
      </x:c>
      <x:c r="P101" s="14" t="str"/>
      <x:c r="Q101" s="14" t="str">
        <x:v>data/hja-env_data_clean.csv</x:v>
      </x:c>
      <x:c r="R101" s="14" t="str">
        <x:v>181</x:v>
      </x:c>
      <x:c r="S101" s="14" t="str">
        <x:v>MATCHED_NORMALIZED_SITE_CODE</x:v>
      </x:c>
      <x:c r="T101" s="14" t="str">
        <x:v>Normalized WS1_S8 to master-data site code WS1-8.</x:v>
      </x:c>
      <x:c r="U101" s="14" t="str"/>
      <x:c r="V101" s="14" t="str"/>
    </x:row>
    <x:row r="102" ht="20" customHeight="1">
      <x:c r="A102" s="14" t="str">
        <x:v>hja2016_176</x:v>
      </x:c>
      <x:c r="B102" s="14" t="str">
        <x:v>2016</x:v>
      </x:c>
      <x:c r="C102" s="14" t="str">
        <x:v>HJA2016_Plate2</x:v>
      </x:c>
      <x:c r="D102" s="14" t="str">
        <x:v>Plate2</x:v>
      </x:c>
      <x:c r="E102" s="14" t="str">
        <x:v>S47</x:v>
      </x:c>
      <x:c r="F102" s="14" t="str">
        <x:v>WS1-2</x:v>
      </x:c>
      <x:c r="G102" s="14" t="str">
        <x:v>WS1-2</x:v>
      </x:c>
      <x:c r="H102" s="14" t="str">
        <x:v>Sediment</x:v>
      </x:c>
      <x:c r="I102" s="14" t="str">
        <x:v>stream sediment</x:v>
      </x:c>
      <x:c r="J102" s="14" t="str">
        <x:v>GSF2238-Lennon-Plate2-hja2016_176_S47_L001_R1_001.fastq.gz</x:v>
      </x:c>
      <x:c r="K102" s="14" t="str">
        <x:v>GSF2238-Lennon-Plate2-hja2016_176_S47_L001_R2_001.fastq.gz</x:v>
      </x:c>
      <x:c r="L102" s="14" t="str">
        <x:v>sequences/GSF2238-Lennon-Plate2-hja2016_176_S47_L001_R1_001.fastq.gz</x:v>
      </x:c>
      <x:c r="M102" s="14" t="str">
        <x:v>sequences/GSF2238-Lennon-Plate2-hja2016_176_S47_L001_R2_001.fastq.gz</x:v>
      </x:c>
      <x:c r="N102" s="14" t="str">
        <x:v>TRUE</x:v>
      </x:c>
      <x:c r="O102" s="14" t="str">
        <x:v>FALSE</x:v>
      </x:c>
      <x:c r="P102" s="14" t="str"/>
      <x:c r="Q102" s="14" t="str">
        <x:v>data/hja-env_data_clean.csv</x:v>
      </x:c>
      <x:c r="R102" s="14" t="str">
        <x:v>175</x:v>
      </x:c>
      <x:c r="S102" s="14" t="str">
        <x:v>MATCHED</x:v>
      </x:c>
      <x:c r="T102" s="14" t="str"/>
      <x:c r="U102" s="14" t="str"/>
      <x:c r="V102" s="14" t="str"/>
    </x:row>
    <x:row r="103" ht="20" customHeight="1">
      <x:c r="A103" s="14" t="str">
        <x:v>hja2016_177</x:v>
      </x:c>
      <x:c r="B103" s="14" t="str">
        <x:v>2016</x:v>
      </x:c>
      <x:c r="C103" s="14" t="str">
        <x:v>HJA2016_Plate2</x:v>
      </x:c>
      <x:c r="D103" s="14" t="str">
        <x:v>Plate2</x:v>
      </x:c>
      <x:c r="E103" s="14" t="str">
        <x:v>S48</x:v>
      </x:c>
      <x:c r="F103" s="14" t="str">
        <x:v>WS1-3</x:v>
      </x:c>
      <x:c r="G103" s="14" t="str">
        <x:v>WS1-3</x:v>
      </x:c>
      <x:c r="H103" s="14" t="str">
        <x:v>Sediment</x:v>
      </x:c>
      <x:c r="I103" s="14" t="str">
        <x:v>stream sediment</x:v>
      </x:c>
      <x:c r="J103" s="14" t="str">
        <x:v>GSF2238-Lennon-Plate2-hja2016_177_S48_L001_R1_001.fastq.gz</x:v>
      </x:c>
      <x:c r="K103" s="14" t="str">
        <x:v>GSF2238-Lennon-Plate2-hja2016_177_S48_L001_R2_001.fastq.gz</x:v>
      </x:c>
      <x:c r="L103" s="14" t="str">
        <x:v>sequences/GSF2238-Lennon-Plate2-hja2016_177_S48_L001_R1_001.fastq.gz</x:v>
      </x:c>
      <x:c r="M103" s="14" t="str">
        <x:v>sequences/GSF2238-Lennon-Plate2-hja2016_177_S48_L001_R2_001.fastq.gz</x:v>
      </x:c>
      <x:c r="N103" s="14" t="str">
        <x:v>TRUE</x:v>
      </x:c>
      <x:c r="O103" s="14" t="str">
        <x:v>FALSE</x:v>
      </x:c>
      <x:c r="P103" s="14" t="str"/>
      <x:c r="Q103" s="14" t="str">
        <x:v>data/hja-env_data_clean.csv</x:v>
      </x:c>
      <x:c r="R103" s="14" t="str">
        <x:v>176</x:v>
      </x:c>
      <x:c r="S103" s="14" t="str">
        <x:v>MATCHED</x:v>
      </x:c>
      <x:c r="T103" s="14" t="str"/>
      <x:c r="U103" s="14" t="str"/>
      <x:c r="V103" s="14" t="str"/>
    </x:row>
    <x:row r="104" ht="20" customHeight="1">
      <x:c r="A104" s="14" t="str">
        <x:v>hja2016_179</x:v>
      </x:c>
      <x:c r="B104" s="14" t="str">
        <x:v>2016</x:v>
      </x:c>
      <x:c r="C104" s="14" t="str">
        <x:v>HJA2016_Plate2</x:v>
      </x:c>
      <x:c r="D104" s="14" t="str">
        <x:v>Plate2</x:v>
      </x:c>
      <x:c r="E104" s="14" t="str">
        <x:v>S49</x:v>
      </x:c>
      <x:c r="F104" s="14" t="str">
        <x:v>WS1-5</x:v>
      </x:c>
      <x:c r="G104" s="14" t="str">
        <x:v>WS1-5</x:v>
      </x:c>
      <x:c r="H104" s="14" t="str">
        <x:v>Sediment</x:v>
      </x:c>
      <x:c r="I104" s="14" t="str">
        <x:v>stream sediment</x:v>
      </x:c>
      <x:c r="J104" s="14" t="str">
        <x:v>GSF2238-Lennon-Plate2-hja2016_179_S49_L001_R1_001.fastq.gz</x:v>
      </x:c>
      <x:c r="K104" s="14" t="str">
        <x:v>GSF2238-Lennon-Plate2-hja2016_179_S49_L001_R2_001.fastq.gz</x:v>
      </x:c>
      <x:c r="L104" s="14" t="str">
        <x:v>sequences/GSF2238-Lennon-Plate2-hja2016_179_S49_L001_R1_001.fastq.gz</x:v>
      </x:c>
      <x:c r="M104" s="14" t="str">
        <x:v>sequences/GSF2238-Lennon-Plate2-hja2016_179_S49_L001_R2_001.fastq.gz</x:v>
      </x:c>
      <x:c r="N104" s="14" t="str">
        <x:v>TRUE</x:v>
      </x:c>
      <x:c r="O104" s="14" t="str">
        <x:v>FALSE</x:v>
      </x:c>
      <x:c r="P104" s="14" t="str"/>
      <x:c r="Q104" s="14" t="str">
        <x:v>data/hja-env_data_clean.csv</x:v>
      </x:c>
      <x:c r="R104" s="14" t="str">
        <x:v>178</x:v>
      </x:c>
      <x:c r="S104" s="14" t="str">
        <x:v>MATCHED</x:v>
      </x:c>
      <x:c r="T104" s="14" t="str"/>
      <x:c r="U104" s="14" t="str"/>
      <x:c r="V104" s="14" t="str"/>
    </x:row>
    <x:row r="105" ht="20" customHeight="1">
      <x:c r="A105" s="14" t="str">
        <x:v>hja2016_180</x:v>
      </x:c>
      <x:c r="B105" s="14" t="str">
        <x:v>2016</x:v>
      </x:c>
      <x:c r="C105" s="14" t="str">
        <x:v>HJA2016_Plate2</x:v>
      </x:c>
      <x:c r="D105" s="14" t="str">
        <x:v>Plate2</x:v>
      </x:c>
      <x:c r="E105" s="14" t="str">
        <x:v>S50</x:v>
      </x:c>
      <x:c r="F105" s="14" t="str">
        <x:v>WS1-6</x:v>
      </x:c>
      <x:c r="G105" s="14" t="str">
        <x:v>WS1-6</x:v>
      </x:c>
      <x:c r="H105" s="14" t="str">
        <x:v>Sediment</x:v>
      </x:c>
      <x:c r="I105" s="14" t="str">
        <x:v>stream sediment</x:v>
      </x:c>
      <x:c r="J105" s="14" t="str">
        <x:v>GSF2238-Lennon-Plate2-hja2016_180_S50_L001_R1_001.fastq.gz</x:v>
      </x:c>
      <x:c r="K105" s="14" t="str">
        <x:v>GSF2238-Lennon-Plate2-hja2016_180_S50_L001_R2_001.fastq.gz</x:v>
      </x:c>
      <x:c r="L105" s="14" t="str">
        <x:v>sequences/GSF2238-Lennon-Plate2-hja2016_180_S50_L001_R1_001.fastq.gz</x:v>
      </x:c>
      <x:c r="M105" s="14" t="str">
        <x:v>sequences/GSF2238-Lennon-Plate2-hja2016_180_S50_L001_R2_001.fastq.gz</x:v>
      </x:c>
      <x:c r="N105" s="14" t="str">
        <x:v>TRUE</x:v>
      </x:c>
      <x:c r="O105" s="14" t="str">
        <x:v>FALSE</x:v>
      </x:c>
      <x:c r="P105" s="14" t="str"/>
      <x:c r="Q105" s="14" t="str">
        <x:v>data/hja-env_data_clean.csv</x:v>
      </x:c>
      <x:c r="R105" s="14" t="str">
        <x:v>179</x:v>
      </x:c>
      <x:c r="S105" s="14" t="str">
        <x:v>MATCHED</x:v>
      </x:c>
      <x:c r="T105" s="14" t="str"/>
      <x:c r="U105" s="14" t="str"/>
      <x:c r="V105" s="14" t="str"/>
    </x:row>
    <x:row r="106" ht="20" customHeight="1">
      <x:c r="A106" s="14" t="str">
        <x:v>hja2016_181</x:v>
      </x:c>
      <x:c r="B106" s="14" t="str">
        <x:v>2016</x:v>
      </x:c>
      <x:c r="C106" s="14" t="str">
        <x:v>HJA2016_Plate2</x:v>
      </x:c>
      <x:c r="D106" s="14" t="str">
        <x:v>Plate2</x:v>
      </x:c>
      <x:c r="E106" s="14" t="str">
        <x:v>S51</x:v>
      </x:c>
      <x:c r="F106" s="14" t="str">
        <x:v>177</x:v>
      </x:c>
      <x:c r="G106" s="14" t="str">
        <x:v>177</x:v>
      </x:c>
      <x:c r="H106" s="14" t="str">
        <x:v>Sediment</x:v>
      </x:c>
      <x:c r="I106" s="14" t="str">
        <x:v>stream sediment</x:v>
      </x:c>
      <x:c r="J106" s="14" t="str">
        <x:v>GSF2238-Lennon-Plate2-hja2016_181_S51_L001_R1_001.fastq.gz</x:v>
      </x:c>
      <x:c r="K106" s="14" t="str">
        <x:v>GSF2238-Lennon-Plate2-hja2016_181_S51_L001_R2_001.fastq.gz</x:v>
      </x:c>
      <x:c r="L106" s="14" t="str">
        <x:v>sequences/GSF2238-Lennon-Plate2-hja2016_181_S51_L001_R1_001.fastq.gz</x:v>
      </x:c>
      <x:c r="M106" s="14" t="str">
        <x:v>sequences/GSF2238-Lennon-Plate2-hja2016_181_S51_L001_R2_001.fastq.gz</x:v>
      </x:c>
      <x:c r="N106" s="14" t="str">
        <x:v>TRUE</x:v>
      </x:c>
      <x:c r="O106" s="14" t="str">
        <x:v>FALSE</x:v>
      </x:c>
      <x:c r="P106" s="14" t="str"/>
      <x:c r="Q106" s="14" t="str">
        <x:v>data/hja-env_data_clean.csv</x:v>
      </x:c>
      <x:c r="R106" s="14" t="str">
        <x:v>161</x:v>
      </x:c>
      <x:c r="S106" s="14" t="str">
        <x:v>MATCHED</x:v>
      </x:c>
      <x:c r="T106" s="14" t="str"/>
      <x:c r="U106" s="14" t="str"/>
      <x:c r="V106" s="14" t="str"/>
    </x:row>
    <x:row r="107" ht="20" customHeight="1">
      <x:c r="A107" s="14" t="str">
        <x:v>hja2016_183</x:v>
      </x:c>
      <x:c r="B107" s="14" t="str">
        <x:v>2016</x:v>
      </x:c>
      <x:c r="C107" s="14" t="str">
        <x:v>HJA2016_Plate1</x:v>
      </x:c>
      <x:c r="D107" s="14" t="str">
        <x:v>Plate1</x:v>
      </x:c>
      <x:c r="E107" s="14" t="str">
        <x:v>S56</x:v>
      </x:c>
      <x:c r="F107" s="14" t="str">
        <x:v>HJA-2016_soil_01</x:v>
      </x:c>
      <x:c r="G107" s="14" t="str">
        <x:v>HJA-2016_soil_01</x:v>
      </x:c>
      <x:c r="H107" s="14" t="str">
        <x:v>Terrestrial soil</x:v>
      </x:c>
      <x:c r="I107" s="14" t="str">
        <x:v>terrestrial soil</x:v>
      </x:c>
      <x:c r="J107" s="14" t="str">
        <x:v>GSF2238-Lennon-Plate1-hja2016_183_S56_L001_R1_001.fastq.gz</x:v>
      </x:c>
      <x:c r="K107" s="14" t="str">
        <x:v>GSF2238-Lennon-Plate1-hja2016_183_S56_L001_R2_001.fastq.gz</x:v>
      </x:c>
      <x:c r="L107" s="14" t="str">
        <x:v>sequences/GSF2238-Lennon-Plate1-hja2016_183_S56_L001_R1_001.fastq.gz</x:v>
      </x:c>
      <x:c r="M107" s="14" t="str">
        <x:v>sequences/GSF2238-Lennon-Plate1-hja2016_183_S56_L001_R2_001.fastq.gz</x:v>
      </x:c>
      <x:c r="N107" s="14" t="str">
        <x:v>TRUE</x:v>
      </x:c>
      <x:c r="O107" s="14" t="str">
        <x:v>FALSE</x:v>
      </x:c>
      <x:c r="P107" s="14" t="str"/>
      <x:c r="Q107" s="14" t="str">
        <x:v>data/hja-synoptic_env-data-soils.csv</x:v>
      </x:c>
      <x:c r="R107" s="14" t="str">
        <x:v>2</x:v>
      </x:c>
      <x:c r="S107" s="14" t="str">
        <x:v>MATCHED</x:v>
      </x:c>
      <x:c r="T107" s="14" t="str"/>
      <x:c r="U107" s="14" t="str"/>
      <x:c r="V107" s="14" t="str"/>
    </x:row>
    <x:row r="108" ht="20" customHeight="1">
      <x:c r="A108" s="14" t="str">
        <x:v>hja2016_184</x:v>
      </x:c>
      <x:c r="B108" s="14" t="str">
        <x:v>2016</x:v>
      </x:c>
      <x:c r="C108" s="14" t="str">
        <x:v>HJA2016_Plate1</x:v>
      </x:c>
      <x:c r="D108" s="14" t="str">
        <x:v>Plate1</x:v>
      </x:c>
      <x:c r="E108" s="14" t="str">
        <x:v>S57</x:v>
      </x:c>
      <x:c r="F108" s="14" t="str">
        <x:v>HJA-2016_soil_03</x:v>
      </x:c>
      <x:c r="G108" s="14" t="str">
        <x:v>HJA-2016_soil_03</x:v>
      </x:c>
      <x:c r="H108" s="14" t="str">
        <x:v>Terrestrial soil</x:v>
      </x:c>
      <x:c r="I108" s="14" t="str">
        <x:v>terrestrial soil</x:v>
      </x:c>
      <x:c r="J108" s="14" t="str">
        <x:v>GSF2238-Lennon-Plate1-hja2016_184_S57_L001_R1_001.fastq.gz</x:v>
      </x:c>
      <x:c r="K108" s="14" t="str">
        <x:v>GSF2238-Lennon-Plate1-hja2016_184_S57_L001_R2_001.fastq.gz</x:v>
      </x:c>
      <x:c r="L108" s="14" t="str">
        <x:v>sequences/GSF2238-Lennon-Plate1-hja2016_184_S57_L001_R1_001.fastq.gz</x:v>
      </x:c>
      <x:c r="M108" s="14" t="str">
        <x:v>sequences/GSF2238-Lennon-Plate1-hja2016_184_S57_L001_R2_001.fastq.gz</x:v>
      </x:c>
      <x:c r="N108" s="14" t="str">
        <x:v>TRUE</x:v>
      </x:c>
      <x:c r="O108" s="14" t="str">
        <x:v>FALSE</x:v>
      </x:c>
      <x:c r="P108" s="14" t="str"/>
      <x:c r="Q108" s="14" t="str">
        <x:v>data/hja-synoptic_env-data-soils.csv</x:v>
      </x:c>
      <x:c r="R108" s="14" t="str">
        <x:v>4</x:v>
      </x:c>
      <x:c r="S108" s="14" t="str">
        <x:v>MATCHED</x:v>
      </x:c>
      <x:c r="T108" s="14" t="str"/>
      <x:c r="U108" s="14" t="str"/>
      <x:c r="V108" s="14" t="str"/>
    </x:row>
    <x:row r="109" ht="20" customHeight="1">
      <x:c r="A109" s="14" t="str">
        <x:v>hja2016_185</x:v>
      </x:c>
      <x:c r="B109" s="14" t="str">
        <x:v>2016</x:v>
      </x:c>
      <x:c r="C109" s="14" t="str">
        <x:v>HJA2016_Plate1</x:v>
      </x:c>
      <x:c r="D109" s="14" t="str">
        <x:v>Plate1</x:v>
      </x:c>
      <x:c r="E109" s="14" t="str">
        <x:v>S58</x:v>
      </x:c>
      <x:c r="F109" s="14" t="str">
        <x:v>HJA-2016_soil_04</x:v>
      </x:c>
      <x:c r="G109" s="14" t="str">
        <x:v>HJA-2016_soil_04</x:v>
      </x:c>
      <x:c r="H109" s="14" t="str">
        <x:v>Terrestrial soil</x:v>
      </x:c>
      <x:c r="I109" s="14" t="str">
        <x:v>terrestrial soil</x:v>
      </x:c>
      <x:c r="J109" s="14" t="str">
        <x:v>GSF2238-Lennon-Plate1-hja2016_185_S58_L001_R1_001.fastq.gz</x:v>
      </x:c>
      <x:c r="K109" s="14" t="str">
        <x:v>GSF2238-Lennon-Plate1-hja2016_185_S58_L001_R2_001.fastq.gz</x:v>
      </x:c>
      <x:c r="L109" s="14" t="str">
        <x:v>sequences/GSF2238-Lennon-Plate1-hja2016_185_S58_L001_R1_001.fastq.gz</x:v>
      </x:c>
      <x:c r="M109" s="14" t="str">
        <x:v>sequences/GSF2238-Lennon-Plate1-hja2016_185_S58_L001_R2_001.fastq.gz</x:v>
      </x:c>
      <x:c r="N109" s="14" t="str">
        <x:v>TRUE</x:v>
      </x:c>
      <x:c r="O109" s="14" t="str">
        <x:v>FALSE</x:v>
      </x:c>
      <x:c r="P109" s="14" t="str"/>
      <x:c r="Q109" s="14" t="str">
        <x:v>data/hja-synoptic_env-data-soils.csv</x:v>
      </x:c>
      <x:c r="R109" s="14" t="str">
        <x:v>5</x:v>
      </x:c>
      <x:c r="S109" s="14" t="str">
        <x:v>MATCHED</x:v>
      </x:c>
      <x:c r="T109" s="14" t="str"/>
      <x:c r="U109" s="14" t="str"/>
      <x:c r="V109" s="14" t="str"/>
    </x:row>
    <x:row r="110" ht="20" customHeight="1">
      <x:c r="A110" s="14" t="str">
        <x:v>hja2016_188</x:v>
      </x:c>
      <x:c r="B110" s="14" t="str">
        <x:v>2016</x:v>
      </x:c>
      <x:c r="C110" s="14" t="str">
        <x:v>HJA2016_Plate1</x:v>
      </x:c>
      <x:c r="D110" s="14" t="str">
        <x:v>Plate1</x:v>
      </x:c>
      <x:c r="E110" s="14" t="str">
        <x:v>S59</x:v>
      </x:c>
      <x:c r="F110" s="14" t="str">
        <x:v>HJA-2016_soil_07</x:v>
      </x:c>
      <x:c r="G110" s="14" t="str">
        <x:v>HJA-2016_soil_07</x:v>
      </x:c>
      <x:c r="H110" s="14" t="str">
        <x:v>Terrestrial soil</x:v>
      </x:c>
      <x:c r="I110" s="14" t="str">
        <x:v>terrestrial soil</x:v>
      </x:c>
      <x:c r="J110" s="14" t="str">
        <x:v>GSF2238-Lennon-Plate1-hja2016_188_S59_L001_R1_001.fastq.gz</x:v>
      </x:c>
      <x:c r="K110" s="14" t="str">
        <x:v>GSF2238-Lennon-Plate1-hja2016_188_S59_L001_R2_001.fastq.gz</x:v>
      </x:c>
      <x:c r="L110" s="14" t="str">
        <x:v>sequences/GSF2238-Lennon-Plate1-hja2016_188_S59_L001_R1_001.fastq.gz</x:v>
      </x:c>
      <x:c r="M110" s="14" t="str">
        <x:v>sequences/GSF2238-Lennon-Plate1-hja2016_188_S59_L001_R2_001.fastq.gz</x:v>
      </x:c>
      <x:c r="N110" s="14" t="str">
        <x:v>TRUE</x:v>
      </x:c>
      <x:c r="O110" s="14" t="str">
        <x:v>FALSE</x:v>
      </x:c>
      <x:c r="P110" s="14" t="str"/>
      <x:c r="Q110" s="14" t="str">
        <x:v>data/hja-synoptic_env-data-soils.csv</x:v>
      </x:c>
      <x:c r="R110" s="14" t="str">
        <x:v>8</x:v>
      </x:c>
      <x:c r="S110" s="14" t="str">
        <x:v>MATCHED</x:v>
      </x:c>
      <x:c r="T110" s="14" t="str"/>
      <x:c r="U110" s="14" t="str"/>
      <x:c r="V110" s="14" t="str"/>
    </x:row>
    <x:row r="111" ht="20" customHeight="1">
      <x:c r="A111" s="14" t="str">
        <x:v>hja2016_189</x:v>
      </x:c>
      <x:c r="B111" s="14" t="str">
        <x:v>2016</x:v>
      </x:c>
      <x:c r="C111" s="14" t="str">
        <x:v>HJA2016_Plate1</x:v>
      </x:c>
      <x:c r="D111" s="14" t="str">
        <x:v>Plate1</x:v>
      </x:c>
      <x:c r="E111" s="14" t="str">
        <x:v>S60</x:v>
      </x:c>
      <x:c r="F111" s="14" t="str">
        <x:v>HJA-2016_soil_08</x:v>
      </x:c>
      <x:c r="G111" s="14" t="str">
        <x:v>HJA-2016_soil_08</x:v>
      </x:c>
      <x:c r="H111" s="14" t="str">
        <x:v>Terrestrial soil</x:v>
      </x:c>
      <x:c r="I111" s="14" t="str">
        <x:v>terrestrial soil</x:v>
      </x:c>
      <x:c r="J111" s="14" t="str">
        <x:v>GSF2238-Lennon-Plate1-hja2016_189_S60_L001_R1_001.fastq.gz</x:v>
      </x:c>
      <x:c r="K111" s="14" t="str">
        <x:v>GSF2238-Lennon-Plate1-hja2016_189_S60_L001_R2_001.fastq.gz</x:v>
      </x:c>
      <x:c r="L111" s="14" t="str">
        <x:v>sequences/GSF2238-Lennon-Plate1-hja2016_189_S60_L001_R1_001.fastq.gz</x:v>
      </x:c>
      <x:c r="M111" s="14" t="str">
        <x:v>sequences/GSF2238-Lennon-Plate1-hja2016_189_S60_L001_R2_001.fastq.gz</x:v>
      </x:c>
      <x:c r="N111" s="14" t="str">
        <x:v>TRUE</x:v>
      </x:c>
      <x:c r="O111" s="14" t="str">
        <x:v>FALSE</x:v>
      </x:c>
      <x:c r="P111" s="14" t="str"/>
      <x:c r="Q111" s="14" t="str">
        <x:v>data/hja-synoptic_env-data-soils.csv</x:v>
      </x:c>
      <x:c r="R111" s="14" t="str">
        <x:v>9</x:v>
      </x:c>
      <x:c r="S111" s="14" t="str">
        <x:v>MATCHED</x:v>
      </x:c>
      <x:c r="T111" s="14" t="str"/>
      <x:c r="U111" s="14" t="str"/>
      <x:c r="V111" s="14" t="str"/>
    </x:row>
    <x:row r="112" ht="20" customHeight="1">
      <x:c r="A112" s="14" t="str">
        <x:v>hja2016_190</x:v>
      </x:c>
      <x:c r="B112" s="14" t="str">
        <x:v>2016</x:v>
      </x:c>
      <x:c r="C112" s="14" t="str">
        <x:v>HJA2016_Plate1</x:v>
      </x:c>
      <x:c r="D112" s="14" t="str">
        <x:v>Plate1</x:v>
      </x:c>
      <x:c r="E112" s="14" t="str">
        <x:v>S61</x:v>
      </x:c>
      <x:c r="F112" s="14" t="str">
        <x:v>HJA-2016_soil_09</x:v>
      </x:c>
      <x:c r="G112" s="14" t="str">
        <x:v>HJA-2016_soil_09</x:v>
      </x:c>
      <x:c r="H112" s="14" t="str">
        <x:v>Terrestrial soil</x:v>
      </x:c>
      <x:c r="I112" s="14" t="str">
        <x:v>terrestrial soil</x:v>
      </x:c>
      <x:c r="J112" s="14" t="str">
        <x:v>GSF2238-Lennon-Plate1-hja2016_190_S61_L001_R1_001.fastq.gz</x:v>
      </x:c>
      <x:c r="K112" s="14" t="str">
        <x:v>GSF2238-Lennon-Plate1-hja2016_190_S61_L001_R2_001.fastq.gz</x:v>
      </x:c>
      <x:c r="L112" s="14" t="str">
        <x:v>sequences/GSF2238-Lennon-Plate1-hja2016_190_S61_L001_R1_001.fastq.gz</x:v>
      </x:c>
      <x:c r="M112" s="14" t="str">
        <x:v>sequences/GSF2238-Lennon-Plate1-hja2016_190_S61_L001_R2_001.fastq.gz</x:v>
      </x:c>
      <x:c r="N112" s="14" t="str">
        <x:v>TRUE</x:v>
      </x:c>
      <x:c r="O112" s="14" t="str">
        <x:v>FALSE</x:v>
      </x:c>
      <x:c r="P112" s="14" t="str"/>
      <x:c r="Q112" s="14" t="str">
        <x:v>data/hja-synoptic_env-data-soils.csv</x:v>
      </x:c>
      <x:c r="R112" s="14" t="str">
        <x:v>10</x:v>
      </x:c>
      <x:c r="S112" s="14" t="str">
        <x:v>MATCHED</x:v>
      </x:c>
      <x:c r="T112" s="14" t="str"/>
      <x:c r="U112" s="14" t="str"/>
      <x:c r="V112" s="14" t="str"/>
    </x:row>
    <x:row r="113" ht="20" customHeight="1">
      <x:c r="A113" s="14" t="str">
        <x:v>hja2016_191</x:v>
      </x:c>
      <x:c r="B113" s="14" t="str">
        <x:v>2016</x:v>
      </x:c>
      <x:c r="C113" s="14" t="str">
        <x:v>HJA2016_Plate1</x:v>
      </x:c>
      <x:c r="D113" s="14" t="str">
        <x:v>Plate1</x:v>
      </x:c>
      <x:c r="E113" s="14" t="str">
        <x:v>S62</x:v>
      </x:c>
      <x:c r="F113" s="14" t="str">
        <x:v>HJA-2016_soil_10</x:v>
      </x:c>
      <x:c r="G113" s="14" t="str">
        <x:v>HJA-2016_soil_10</x:v>
      </x:c>
      <x:c r="H113" s="14" t="str">
        <x:v>Terrestrial soil</x:v>
      </x:c>
      <x:c r="I113" s="14" t="str">
        <x:v>terrestrial soil</x:v>
      </x:c>
      <x:c r="J113" s="14" t="str">
        <x:v>GSF2238-Lennon-Plate1-hja2016_191_S62_L001_R1_001.fastq.gz</x:v>
      </x:c>
      <x:c r="K113" s="14" t="str">
        <x:v>GSF2238-Lennon-Plate1-hja2016_191_S62_L001_R2_001.fastq.gz</x:v>
      </x:c>
      <x:c r="L113" s="14" t="str">
        <x:v>sequences/GSF2238-Lennon-Plate1-hja2016_191_S62_L001_R1_001.fastq.gz</x:v>
      </x:c>
      <x:c r="M113" s="14" t="str">
        <x:v>sequences/GSF2238-Lennon-Plate1-hja2016_191_S62_L001_R2_001.fastq.gz</x:v>
      </x:c>
      <x:c r="N113" s="14" t="str">
        <x:v>TRUE</x:v>
      </x:c>
      <x:c r="O113" s="14" t="str">
        <x:v>FALSE</x:v>
      </x:c>
      <x:c r="P113" s="14" t="str"/>
      <x:c r="Q113" s="14" t="str">
        <x:v>data/hja-synoptic_env-data-soils.csv</x:v>
      </x:c>
      <x:c r="R113" s="14" t="str">
        <x:v>11</x:v>
      </x:c>
      <x:c r="S113" s="14" t="str">
        <x:v>MATCHED</x:v>
      </x:c>
      <x:c r="T113" s="14" t="str"/>
      <x:c r="U113" s="14" t="str"/>
      <x:c r="V113" s="14" t="str"/>
    </x:row>
    <x:row r="114" ht="20" customHeight="1">
      <x:c r="A114" s="14" t="str">
        <x:v>hja2016_193</x:v>
      </x:c>
      <x:c r="B114" s="14" t="str">
        <x:v>2016</x:v>
      </x:c>
      <x:c r="C114" s="14" t="str">
        <x:v>HJA2016_Plate2</x:v>
      </x:c>
      <x:c r="D114" s="14" t="str">
        <x:v>Plate2</x:v>
      </x:c>
      <x:c r="E114" s="14" t="str">
        <x:v>S52</x:v>
      </x:c>
      <x:c r="F114" s="14" t="str">
        <x:v>HJA-2016_soil_12</x:v>
      </x:c>
      <x:c r="G114" s="14" t="str">
        <x:v>HJA-2016_soil_12</x:v>
      </x:c>
      <x:c r="H114" s="14" t="str">
        <x:v>Terrestrial soil</x:v>
      </x:c>
      <x:c r="I114" s="14" t="str">
        <x:v>terrestrial soil</x:v>
      </x:c>
      <x:c r="J114" s="14" t="str">
        <x:v>GSF2238-Lennon-Plate2-hja2016_193_S52_L001_R1_001.fastq.gz</x:v>
      </x:c>
      <x:c r="K114" s="14" t="str">
        <x:v>GSF2238-Lennon-Plate2-hja2016_193_S52_L001_R2_001.fastq.gz</x:v>
      </x:c>
      <x:c r="L114" s="14" t="str">
        <x:v>sequences/GSF2238-Lennon-Plate2-hja2016_193_S52_L001_R1_001.fastq.gz</x:v>
      </x:c>
      <x:c r="M114" s="14" t="str">
        <x:v>sequences/GSF2238-Lennon-Plate2-hja2016_193_S52_L001_R2_001.fastq.gz</x:v>
      </x:c>
      <x:c r="N114" s="14" t="str">
        <x:v>TRUE</x:v>
      </x:c>
      <x:c r="O114" s="14" t="str">
        <x:v>FALSE</x:v>
      </x:c>
      <x:c r="P114" s="14" t="str"/>
      <x:c r="Q114" s="14" t="str">
        <x:v>data/hja-synoptic_env-data-soils.csv</x:v>
      </x:c>
      <x:c r="R114" s="14" t="str">
        <x:v>13</x:v>
      </x:c>
      <x:c r="S114" s="14" t="str">
        <x:v>MATCHED</x:v>
      </x:c>
      <x:c r="T114" s="14" t="str"/>
      <x:c r="U114" s="14" t="str"/>
      <x:c r="V114" s="14" t="str"/>
    </x:row>
    <x:row r="115" ht="20" customHeight="1">
      <x:c r="A115" s="14" t="str">
        <x:v>hja2016_194</x:v>
      </x:c>
      <x:c r="B115" s="14" t="str">
        <x:v>2016</x:v>
      </x:c>
      <x:c r="C115" s="14" t="str">
        <x:v>HJA2016_Plate2</x:v>
      </x:c>
      <x:c r="D115" s="14" t="str">
        <x:v>Plate2</x:v>
      </x:c>
      <x:c r="E115" s="14" t="str">
        <x:v>S53</x:v>
      </x:c>
      <x:c r="F115" s="14" t="str">
        <x:v>HJA-2016_soil_13</x:v>
      </x:c>
      <x:c r="G115" s="14" t="str">
        <x:v>HJA-2016_soil_13</x:v>
      </x:c>
      <x:c r="H115" s="14" t="str">
        <x:v>Terrestrial soil</x:v>
      </x:c>
      <x:c r="I115" s="14" t="str">
        <x:v>terrestrial soil</x:v>
      </x:c>
      <x:c r="J115" s="14" t="str">
        <x:v>GSF2238-Lennon-Plate2-hja2016_194_S53_L001_R1_001.fastq.gz</x:v>
      </x:c>
      <x:c r="K115" s="14" t="str">
        <x:v>GSF2238-Lennon-Plate2-hja2016_194_S53_L001_R2_001.fastq.gz</x:v>
      </x:c>
      <x:c r="L115" s="14" t="str">
        <x:v>sequences/GSF2238-Lennon-Plate2-hja2016_194_S53_L001_R1_001.fastq.gz</x:v>
      </x:c>
      <x:c r="M115" s="14" t="str">
        <x:v>sequences/GSF2238-Lennon-Plate2-hja2016_194_S53_L001_R2_001.fastq.gz</x:v>
      </x:c>
      <x:c r="N115" s="14" t="str">
        <x:v>TRUE</x:v>
      </x:c>
      <x:c r="O115" s="14" t="str">
        <x:v>FALSE</x:v>
      </x:c>
      <x:c r="P115" s="14" t="str"/>
      <x:c r="Q115" s="14" t="str">
        <x:v>data/hja-synoptic_env-data-soils.csv</x:v>
      </x:c>
      <x:c r="R115" s="14" t="str">
        <x:v>14</x:v>
      </x:c>
      <x:c r="S115" s="14" t="str">
        <x:v>MATCHED</x:v>
      </x:c>
      <x:c r="T115" s="14" t="str"/>
      <x:c r="U115" s="14" t="str"/>
      <x:c r="V115" s="14" t="str"/>
    </x:row>
    <x:row r="116" ht="20" customHeight="1">
      <x:c r="A116" s="14" t="str">
        <x:v>hja2016_195</x:v>
      </x:c>
      <x:c r="B116" s="14" t="str">
        <x:v>2016</x:v>
      </x:c>
      <x:c r="C116" s="14" t="str">
        <x:v>HJA2016_Plate2</x:v>
      </x:c>
      <x:c r="D116" s="14" t="str">
        <x:v>Plate2</x:v>
      </x:c>
      <x:c r="E116" s="14" t="str">
        <x:v>S54</x:v>
      </x:c>
      <x:c r="F116" s="14" t="str">
        <x:v>HJA-2016_soil_14</x:v>
      </x:c>
      <x:c r="G116" s="14" t="str">
        <x:v>HJA-2016_soil_14</x:v>
      </x:c>
      <x:c r="H116" s="14" t="str">
        <x:v>Terrestrial soil</x:v>
      </x:c>
      <x:c r="I116" s="14" t="str">
        <x:v>terrestrial soil</x:v>
      </x:c>
      <x:c r="J116" s="14" t="str">
        <x:v>GSF2238-Lennon-Plate2-hja2016_195_S54_L001_R1_001.fastq.gz</x:v>
      </x:c>
      <x:c r="K116" s="14" t="str">
        <x:v>GSF2238-Lennon-Plate2-hja2016_195_S54_L001_R2_001.fastq.gz</x:v>
      </x:c>
      <x:c r="L116" s="14" t="str">
        <x:v>sequences/GSF2238-Lennon-Plate2-hja2016_195_S54_L001_R1_001.fastq.gz</x:v>
      </x:c>
      <x:c r="M116" s="14" t="str">
        <x:v>sequences/GSF2238-Lennon-Plate2-hja2016_195_S54_L001_R2_001.fastq.gz</x:v>
      </x:c>
      <x:c r="N116" s="14" t="str">
        <x:v>TRUE</x:v>
      </x:c>
      <x:c r="O116" s="14" t="str">
        <x:v>FALSE</x:v>
      </x:c>
      <x:c r="P116" s="14" t="str"/>
      <x:c r="Q116" s="14" t="str">
        <x:v>data/hja-synoptic_env-data-soils.csv</x:v>
      </x:c>
      <x:c r="R116" s="14" t="str">
        <x:v>15</x:v>
      </x:c>
      <x:c r="S116" s="14" t="str">
        <x:v>MATCHED</x:v>
      </x:c>
      <x:c r="T116" s="14" t="str"/>
      <x:c r="U116" s="14" t="str"/>
      <x:c r="V116" s="14" t="str"/>
    </x:row>
    <x:row r="117" ht="20" customHeight="1">
      <x:c r="A117" s="14" t="str">
        <x:v>hja2016_196</x:v>
      </x:c>
      <x:c r="B117" s="14" t="str">
        <x:v>2016</x:v>
      </x:c>
      <x:c r="C117" s="14" t="str">
        <x:v>HJA2016_Plate2</x:v>
      </x:c>
      <x:c r="D117" s="14" t="str">
        <x:v>Plate2</x:v>
      </x:c>
      <x:c r="E117" s="14" t="str">
        <x:v>S55</x:v>
      </x:c>
      <x:c r="F117" s="14" t="str">
        <x:v>HJA-2016_soil_16</x:v>
      </x:c>
      <x:c r="G117" s="14" t="str">
        <x:v>HJA-2016_soil_16</x:v>
      </x:c>
      <x:c r="H117" s="14" t="str">
        <x:v>Terrestrial soil</x:v>
      </x:c>
      <x:c r="I117" s="14" t="str">
        <x:v>terrestrial soil</x:v>
      </x:c>
      <x:c r="J117" s="14" t="str">
        <x:v>GSF2238-Lennon-Plate2-hja2016_196_S55_L001_R1_001.fastq.gz</x:v>
      </x:c>
      <x:c r="K117" s="14" t="str">
        <x:v>GSF2238-Lennon-Plate2-hja2016_196_S55_L001_R2_001.fastq.gz</x:v>
      </x:c>
      <x:c r="L117" s="14" t="str">
        <x:v>sequences/GSF2238-Lennon-Plate2-hja2016_196_S55_L001_R1_001.fastq.gz</x:v>
      </x:c>
      <x:c r="M117" s="14" t="str">
        <x:v>sequences/GSF2238-Lennon-Plate2-hja2016_196_S55_L001_R2_001.fastq.gz</x:v>
      </x:c>
      <x:c r="N117" s="14" t="str">
        <x:v>TRUE</x:v>
      </x:c>
      <x:c r="O117" s="14" t="str">
        <x:v>FALSE</x:v>
      </x:c>
      <x:c r="P117" s="14" t="str"/>
      <x:c r="Q117" s="14" t="str">
        <x:v>data/hja-synoptic_env-data-soils.csv</x:v>
      </x:c>
      <x:c r="R117" s="14" t="str">
        <x:v>17</x:v>
      </x:c>
      <x:c r="S117" s="14" t="str">
        <x:v>MATCHED</x:v>
      </x:c>
      <x:c r="T117" s="14" t="str"/>
      <x:c r="U117" s="14" t="str"/>
      <x:c r="V117" s="14" t="str"/>
    </x:row>
    <x:row r="118" ht="20" customHeight="1">
      <x:c r="A118" s="14" t="str">
        <x:v>hja2016_197</x:v>
      </x:c>
      <x:c r="B118" s="14" t="str">
        <x:v>2016</x:v>
      </x:c>
      <x:c r="C118" s="14" t="str">
        <x:v>HJA2016_Plate2</x:v>
      </x:c>
      <x:c r="D118" s="14" t="str">
        <x:v>Plate2</x:v>
      </x:c>
      <x:c r="E118" s="14" t="str">
        <x:v>S56</x:v>
      </x:c>
      <x:c r="F118" s="14" t="str">
        <x:v>HJA-2016_soil_17</x:v>
      </x:c>
      <x:c r="G118" s="14" t="str">
        <x:v>HJA-2016_soil_17</x:v>
      </x:c>
      <x:c r="H118" s="14" t="str">
        <x:v>Terrestrial soil</x:v>
      </x:c>
      <x:c r="I118" s="14" t="str">
        <x:v>terrestrial soil</x:v>
      </x:c>
      <x:c r="J118" s="14" t="str">
        <x:v>GSF2238-Lennon-Plate2-hja2016_197_S56_L001_R1_001.fastq.gz</x:v>
      </x:c>
      <x:c r="K118" s="14" t="str">
        <x:v>GSF2238-Lennon-Plate2-hja2016_197_S56_L001_R2_001.fastq.gz</x:v>
      </x:c>
      <x:c r="L118" s="14" t="str">
        <x:v>sequences/GSF2238-Lennon-Plate2-hja2016_197_S56_L001_R1_001.fastq.gz</x:v>
      </x:c>
      <x:c r="M118" s="14" t="str">
        <x:v>sequences/GSF2238-Lennon-Plate2-hja2016_197_S56_L001_R2_001.fastq.gz</x:v>
      </x:c>
      <x:c r="N118" s="14" t="str">
        <x:v>TRUE</x:v>
      </x:c>
      <x:c r="O118" s="14" t="str">
        <x:v>FALSE</x:v>
      </x:c>
      <x:c r="P118" s="14" t="str"/>
      <x:c r="Q118" s="14" t="str">
        <x:v>data/hja-synoptic_env-data-soils.csv</x:v>
      </x:c>
      <x:c r="R118" s="14" t="str">
        <x:v>18</x:v>
      </x:c>
      <x:c r="S118" s="14" t="str">
        <x:v>MATCHED</x:v>
      </x:c>
      <x:c r="T118" s="14" t="str"/>
      <x:c r="U118" s="14" t="str"/>
      <x:c r="V118" s="14" t="str"/>
    </x:row>
    <x:row r="119" ht="20" customHeight="1">
      <x:c r="A119" s="14" t="str">
        <x:v>hja2016_198</x:v>
      </x:c>
      <x:c r="B119" s="14" t="str">
        <x:v>2016</x:v>
      </x:c>
      <x:c r="C119" s="14" t="str">
        <x:v>HJA2016_Plate2</x:v>
      </x:c>
      <x:c r="D119" s="14" t="str">
        <x:v>Plate2</x:v>
      </x:c>
      <x:c r="E119" s="14" t="str">
        <x:v>S57</x:v>
      </x:c>
      <x:c r="F119" s="14" t="str">
        <x:v>HJA-2016_soil_18</x:v>
      </x:c>
      <x:c r="G119" s="14" t="str">
        <x:v>HJA-2016_soil_18</x:v>
      </x:c>
      <x:c r="H119" s="14" t="str">
        <x:v>Terrestrial soil</x:v>
      </x:c>
      <x:c r="I119" s="14" t="str">
        <x:v>terrestrial soil</x:v>
      </x:c>
      <x:c r="J119" s="14" t="str">
        <x:v>GSF2238-Lennon-Plate2-hja2016_198_S57_L001_R1_001.fastq.gz</x:v>
      </x:c>
      <x:c r="K119" s="14" t="str">
        <x:v>GSF2238-Lennon-Plate2-hja2016_198_S57_L001_R2_001.fastq.gz</x:v>
      </x:c>
      <x:c r="L119" s="14" t="str">
        <x:v>sequences/GSF2238-Lennon-Plate2-hja2016_198_S57_L001_R1_001.fastq.gz</x:v>
      </x:c>
      <x:c r="M119" s="14" t="str">
        <x:v>sequences/GSF2238-Lennon-Plate2-hja2016_198_S57_L001_R2_001.fastq.gz</x:v>
      </x:c>
      <x:c r="N119" s="14" t="str">
        <x:v>TRUE</x:v>
      </x:c>
      <x:c r="O119" s="14" t="str">
        <x:v>FALSE</x:v>
      </x:c>
      <x:c r="P119" s="14" t="str"/>
      <x:c r="Q119" s="14" t="str">
        <x:v>data/hja-synoptic_env-data-soils.csv</x:v>
      </x:c>
      <x:c r="R119" s="14" t="str">
        <x:v>3</x:v>
      </x:c>
      <x:c r="S119" s="14" t="str">
        <x:v>MATCHED</x:v>
      </x:c>
      <x:c r="T119" s="14" t="str"/>
      <x:c r="U119" s="14" t="str"/>
      <x:c r="V119" s="14" t="str"/>
    </x:row>
    <x:row r="120" ht="20" customHeight="1">
      <x:c r="A120" s="14" t="str">
        <x:v>hja2016_199</x:v>
      </x:c>
      <x:c r="B120" s="14" t="str">
        <x:v>2016</x:v>
      </x:c>
      <x:c r="C120" s="14" t="str">
        <x:v>HJA2016_Plate2</x:v>
      </x:c>
      <x:c r="D120" s="14" t="str">
        <x:v>Plate2</x:v>
      </x:c>
      <x:c r="E120" s="14" t="str">
        <x:v>S58</x:v>
      </x:c>
      <x:c r="F120" s="14" t="str">
        <x:v>HJA-2016_soil_19</x:v>
      </x:c>
      <x:c r="G120" s="14" t="str">
        <x:v>HJA-2016_soil_19</x:v>
      </x:c>
      <x:c r="H120" s="14" t="str">
        <x:v>Terrestrial soil</x:v>
      </x:c>
      <x:c r="I120" s="14" t="str">
        <x:v>terrestrial soil</x:v>
      </x:c>
      <x:c r="J120" s="14" t="str">
        <x:v>GSF2238-Lennon-Plate2-hja2016_199_S58_L001_R1_001.fastq.gz</x:v>
      </x:c>
      <x:c r="K120" s="14" t="str">
        <x:v>GSF2238-Lennon-Plate2-hja2016_199_S58_L001_R2_001.fastq.gz</x:v>
      </x:c>
      <x:c r="L120" s="14" t="str">
        <x:v>sequences/GSF2238-Lennon-Plate2-hja2016_199_S58_L001_R1_001.fastq.gz</x:v>
      </x:c>
      <x:c r="M120" s="14" t="str">
        <x:v>sequences/GSF2238-Lennon-Plate2-hja2016_199_S58_L001_R2_001.fastq.gz</x:v>
      </x:c>
      <x:c r="N120" s="14" t="str">
        <x:v>TRUE</x:v>
      </x:c>
      <x:c r="O120" s="14" t="str">
        <x:v>FALSE</x:v>
      </x:c>
      <x:c r="P120" s="14" t="str"/>
      <x:c r="Q120" s="14" t="str">
        <x:v>data/hja-synoptic_env-data-soils.csv</x:v>
      </x:c>
      <x:c r="R120" s="14" t="str">
        <x:v>16</x:v>
      </x:c>
      <x:c r="S120" s="14" t="str">
        <x:v>MATCHED</x:v>
      </x:c>
      <x:c r="T120" s="14" t="str"/>
      <x:c r="U120" s="14" t="str"/>
      <x:c r="V120" s="14" t="str"/>
    </x:row>
    <x:row r="121" ht="20" customHeight="1">
      <x:c r="A121" s="15" t="str">
        <x:v>hja2016_200</x:v>
      </x:c>
      <x:c r="B121" s="15" t="str">
        <x:v>2016</x:v>
      </x:c>
      <x:c r="C121" s="15" t="str">
        <x:v>HJA2016_Plate2</x:v>
      </x:c>
      <x:c r="D121" s="15" t="str">
        <x:v>Plate2</x:v>
      </x:c>
      <x:c r="E121" s="15" t="str">
        <x:v>S59</x:v>
      </x:c>
      <x:c r="F121" s="15" t="str"/>
      <x:c r="G121" s="15" t="str"/>
      <x:c r="H121" s="15" t="str">
        <x:v>Terrestrial soil</x:v>
      </x:c>
      <x:c r="I121" s="15" t="str">
        <x:v>terrestrial soil</x:v>
      </x:c>
      <x:c r="J121" s="15" t="str">
        <x:v>GSF2238-Lennon-Plate2-hja2016_200_S59_L001_R1_001.fastq.gz</x:v>
      </x:c>
      <x:c r="K121" s="15" t="str">
        <x:v>GSF2238-Lennon-Plate2-hja2016_200_S59_L001_R2_001.fastq.gz</x:v>
      </x:c>
      <x:c r="L121" s="15" t="str">
        <x:v>sequences/GSF2238-Lennon-Plate2-hja2016_200_S59_L001_R1_001.fastq.gz</x:v>
      </x:c>
      <x:c r="M121" s="15" t="str">
        <x:v>sequences/GSF2238-Lennon-Plate2-hja2016_200_S59_L001_R2_001.fastq.gz</x:v>
      </x:c>
      <x:c r="N121" s="15" t="str">
        <x:v>TRUE</x:v>
      </x:c>
      <x:c r="O121" s="15" t="str">
        <x:v>FALSE</x:v>
      </x:c>
      <x:c r="P121" s="15" t="str"/>
      <x:c r="Q121" s="15" t="str">
        <x:v>data/hja-synoptic_env-data-soils.csv</x:v>
      </x:c>
      <x:c r="R121" s="15" t="str"/>
      <x:c r="S121" s="15" t="str">
        <x:v>REVIEW_UNRESOLVED_SITE</x:v>
      </x:c>
      <x:c r="T121" s="15" t="str">
        <x:v>Missing from local sample list; NCBI BioSample SAMN12129905 identifies a soil metagenome, but the soil site is unresolved.</x:v>
      </x:c>
      <x:c r="U121" s="15" t="str">
        <x:v>SAMN12129905</x:v>
      </x:c>
      <x:c r="V121" s="15" t="str">
        <x:v>SRR9592656</x:v>
      </x:c>
    </x:row>
  </x:sheetData>
  <x:conditionalFormatting sqref="S2:S121">
    <x:cfRule type="containsText" dxfId="0" priority="1" operator="containsText" text="REVIEW"/>
    <x:cfRule type="containsText" dxfId="1" priority="2" operator="containsText" text="NORMALIZED"/>
  </x:conditionalFormatting>
  <x:pageMargins left="0.7" right="0.7" top="0.75" bottom="0.75" header="0.3" footer="0.3"/>
  <x:tableParts count="1">
    <x:tablePart xmlns:r="http://schemas.openxmlformats.org/officeDocument/2006/relationships" r:id="R66dd483f069847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54" hidden="0" customWidth="1"/>
  </x:cols>
  <x:sheetData>
    <x:row r="1" ht="34" customHeight="1">
      <x:c r="A1" s="8" t="str">
        <x:v>site_code</x:v>
      </x:c>
      <x:c r="B1" s="8" t="str">
        <x:v>planktonic_streamwater</x:v>
      </x:c>
      <x:c r="C1" s="8" t="str">
        <x:v>hyporheic_water</x:v>
      </x:c>
      <x:c r="D1" s="8" t="str">
        <x:v>stream_sediment</x:v>
      </x:c>
      <x:c r="E1" s="8" t="str">
        <x:v>sample_type_count</x:v>
      </x:c>
      <x:c r="F1" s="8" t="str">
        <x:v>complete_triplet</x:v>
      </x:c>
      <x:c r="G1" s="8" t="str">
        <x:v>missing_sample_types</x:v>
      </x:c>
    </x:row>
    <x:row r="2" ht="20" customHeight="1">
      <x:c r="A2" s="13" t="str">
        <x:v>155</x:v>
      </x:c>
      <x:c r="B2" s="13" t="str">
        <x:v>FALSE</x:v>
      </x:c>
      <x:c r="C2" s="13" t="str">
        <x:v>TRUE</x:v>
      </x:c>
      <x:c r="D2" s="13" t="str">
        <x:v>TRUE</x:v>
      </x:c>
      <x:c r="E2" s="13" t="str">
        <x:v>2</x:v>
      </x:c>
      <x:c r="F2" s="13" t="str">
        <x:v>FALSE</x:v>
      </x:c>
      <x:c r="G2" s="13" t="str">
        <x:v>planktonic streamwater</x:v>
      </x:c>
    </x:row>
    <x:row r="3" ht="20" customHeight="1">
      <x:c r="A3" s="14" t="str">
        <x:v>156</x:v>
      </x:c>
      <x:c r="B3" s="14" t="str">
        <x:v>TRUE</x:v>
      </x:c>
      <x:c r="C3" s="14" t="str">
        <x:v>TRUE</x:v>
      </x:c>
      <x:c r="D3" s="14" t="str">
        <x:v>TRUE</x:v>
      </x:c>
      <x:c r="E3" s="14" t="str">
        <x:v>3</x:v>
      </x:c>
      <x:c r="F3" s="14" t="str">
        <x:v>TRUE</x:v>
      </x:c>
      <x:c r="G3" s="14" t="str"/>
    </x:row>
    <x:row r="4" ht="20" customHeight="1">
      <x:c r="A4" s="14" t="str">
        <x:v>160</x:v>
      </x:c>
      <x:c r="B4" s="14" t="str">
        <x:v>TRUE</x:v>
      </x:c>
      <x:c r="C4" s="14" t="str">
        <x:v>TRUE</x:v>
      </x:c>
      <x:c r="D4" s="14" t="str">
        <x:v>FALSE</x:v>
      </x:c>
      <x:c r="E4" s="14" t="str">
        <x:v>2</x:v>
      </x:c>
      <x:c r="F4" s="14" t="str">
        <x:v>FALSE</x:v>
      </x:c>
      <x:c r="G4" s="14" t="str">
        <x:v>stream sediment</x:v>
      </x:c>
    </x:row>
    <x:row r="5" ht="20" customHeight="1">
      <x:c r="A5" s="14" t="str">
        <x:v>161</x:v>
      </x:c>
      <x:c r="B5" s="14" t="str">
        <x:v>FALSE</x:v>
      </x:c>
      <x:c r="C5" s="14" t="str">
        <x:v>TRUE</x:v>
      </x:c>
      <x:c r="D5" s="14" t="str">
        <x:v>TRUE</x:v>
      </x:c>
      <x:c r="E5" s="14" t="str">
        <x:v>2</x:v>
      </x:c>
      <x:c r="F5" s="14" t="str">
        <x:v>FALSE</x:v>
      </x:c>
      <x:c r="G5" s="14" t="str">
        <x:v>planktonic streamwater</x:v>
      </x:c>
    </x:row>
    <x:row r="6" ht="20" customHeight="1">
      <x:c r="A6" s="14" t="str">
        <x:v>162</x:v>
      </x:c>
      <x:c r="B6" s="14" t="str">
        <x:v>TRUE</x:v>
      </x:c>
      <x:c r="C6" s="14" t="str">
        <x:v>FALSE</x:v>
      </x:c>
      <x:c r="D6" s="14" t="str">
        <x:v>FALSE</x:v>
      </x:c>
      <x:c r="E6" s="14" t="str">
        <x:v>1</x:v>
      </x:c>
      <x:c r="F6" s="14" t="str">
        <x:v>FALSE</x:v>
      </x:c>
      <x:c r="G6" s="14" t="str">
        <x:v>hyporheic water; stream sediment</x:v>
      </x:c>
    </x:row>
    <x:row r="7" ht="20" customHeight="1">
      <x:c r="A7" s="14" t="str">
        <x:v>163</x:v>
      </x:c>
      <x:c r="B7" s="14" t="str">
        <x:v>FALSE</x:v>
      </x:c>
      <x:c r="C7" s="14" t="str">
        <x:v>TRUE</x:v>
      </x:c>
      <x:c r="D7" s="14" t="str">
        <x:v>TRUE</x:v>
      </x:c>
      <x:c r="E7" s="14" t="str">
        <x:v>2</x:v>
      </x:c>
      <x:c r="F7" s="14" t="str">
        <x:v>FALSE</x:v>
      </x:c>
      <x:c r="G7" s="14" t="str">
        <x:v>planktonic streamwater</x:v>
      </x:c>
    </x:row>
    <x:row r="8" ht="20" customHeight="1">
      <x:c r="A8" s="14" t="str">
        <x:v>164</x:v>
      </x:c>
      <x:c r="B8" s="14" t="str">
        <x:v>TRUE</x:v>
      </x:c>
      <x:c r="C8" s="14" t="str">
        <x:v>TRUE</x:v>
      </x:c>
      <x:c r="D8" s="14" t="str">
        <x:v>FALSE</x:v>
      </x:c>
      <x:c r="E8" s="14" t="str">
        <x:v>2</x:v>
      </x:c>
      <x:c r="F8" s="14" t="str">
        <x:v>FALSE</x:v>
      </x:c>
      <x:c r="G8" s="14" t="str">
        <x:v>stream sediment</x:v>
      </x:c>
    </x:row>
    <x:row r="9" ht="20" customHeight="1">
      <x:c r="A9" s="14" t="str">
        <x:v>165</x:v>
      </x:c>
      <x:c r="B9" s="14" t="str">
        <x:v>TRUE</x:v>
      </x:c>
      <x:c r="C9" s="14" t="str">
        <x:v>TRUE</x:v>
      </x:c>
      <x:c r="D9" s="14" t="str">
        <x:v>TRUE</x:v>
      </x:c>
      <x:c r="E9" s="14" t="str">
        <x:v>3</x:v>
      </x:c>
      <x:c r="F9" s="14" t="str">
        <x:v>TRUE</x:v>
      </x:c>
      <x:c r="G9" s="14" t="str"/>
    </x:row>
    <x:row r="10" ht="20" customHeight="1">
      <x:c r="A10" s="14" t="str">
        <x:v>169</x:v>
      </x:c>
      <x:c r="B10" s="14" t="str">
        <x:v>TRUE</x:v>
      </x:c>
      <x:c r="C10" s="14" t="str">
        <x:v>FALSE</x:v>
      </x:c>
      <x:c r="D10" s="14" t="str">
        <x:v>TRUE</x:v>
      </x:c>
      <x:c r="E10" s="14" t="str">
        <x:v>2</x:v>
      </x:c>
      <x:c r="F10" s="14" t="str">
        <x:v>FALSE</x:v>
      </x:c>
      <x:c r="G10" s="14" t="str">
        <x:v>hyporheic water</x:v>
      </x:c>
    </x:row>
    <x:row r="11" ht="20" customHeight="1">
      <x:c r="A11" s="14" t="str">
        <x:v>170</x:v>
      </x:c>
      <x:c r="B11" s="14" t="str">
        <x:v>TRUE</x:v>
      </x:c>
      <x:c r="C11" s="14" t="str">
        <x:v>FALSE</x:v>
      </x:c>
      <x:c r="D11" s="14" t="str">
        <x:v>TRUE</x:v>
      </x:c>
      <x:c r="E11" s="14" t="str">
        <x:v>2</x:v>
      </x:c>
      <x:c r="F11" s="14" t="str">
        <x:v>FALSE</x:v>
      </x:c>
      <x:c r="G11" s="14" t="str">
        <x:v>hyporheic water</x:v>
      </x:c>
    </x:row>
    <x:row r="12" ht="20" customHeight="1">
      <x:c r="A12" s="14" t="str">
        <x:v>177</x:v>
      </x:c>
      <x:c r="B12" s="14" t="str">
        <x:v>FALSE</x:v>
      </x:c>
      <x:c r="C12" s="14" t="str">
        <x:v>TRUE</x:v>
      </x:c>
      <x:c r="D12" s="14" t="str">
        <x:v>TRUE</x:v>
      </x:c>
      <x:c r="E12" s="14" t="str">
        <x:v>2</x:v>
      </x:c>
      <x:c r="F12" s="14" t="str">
        <x:v>FALSE</x:v>
      </x:c>
      <x:c r="G12" s="14" t="str">
        <x:v>planktonic streamwater</x:v>
      </x:c>
    </x:row>
    <x:row r="13" ht="20" customHeight="1">
      <x:c r="A13" s="14" t="str">
        <x:v>178</x:v>
      </x:c>
      <x:c r="B13" s="14" t="str">
        <x:v>TRUE</x:v>
      </x:c>
      <x:c r="C13" s="14" t="str">
        <x:v>FALSE</x:v>
      </x:c>
      <x:c r="D13" s="14" t="str">
        <x:v>FALSE</x:v>
      </x:c>
      <x:c r="E13" s="14" t="str">
        <x:v>1</x:v>
      </x:c>
      <x:c r="F13" s="14" t="str">
        <x:v>FALSE</x:v>
      </x:c>
      <x:c r="G13" s="14" t="str">
        <x:v>hyporheic water; stream sediment</x:v>
      </x:c>
    </x:row>
    <x:row r="14" ht="20" customHeight="1">
      <x:c r="A14" s="14" t="str">
        <x:v>190</x:v>
      </x:c>
      <x:c r="B14" s="14" t="str">
        <x:v>TRUE</x:v>
      </x:c>
      <x:c r="C14" s="14" t="str">
        <x:v>TRUE</x:v>
      </x:c>
      <x:c r="D14" s="14" t="str">
        <x:v>TRUE</x:v>
      </x:c>
      <x:c r="E14" s="14" t="str">
        <x:v>3</x:v>
      </x:c>
      <x:c r="F14" s="14" t="str">
        <x:v>TRUE</x:v>
      </x:c>
      <x:c r="G14" s="14" t="str"/>
    </x:row>
    <x:row r="15" ht="20" customHeight="1">
      <x:c r="A15" s="14" t="str">
        <x:v>192</x:v>
      </x:c>
      <x:c r="B15" s="14" t="str">
        <x:v>TRUE</x:v>
      </x:c>
      <x:c r="C15" s="14" t="str">
        <x:v>TRUE</x:v>
      </x:c>
      <x:c r="D15" s="14" t="str">
        <x:v>FALSE</x:v>
      </x:c>
      <x:c r="E15" s="14" t="str">
        <x:v>2</x:v>
      </x:c>
      <x:c r="F15" s="14" t="str">
        <x:v>FALSE</x:v>
      </x:c>
      <x:c r="G15" s="14" t="str">
        <x:v>stream sediment</x:v>
      </x:c>
    </x:row>
    <x:row r="16" ht="20" customHeight="1">
      <x:c r="A16" s="14" t="str">
        <x:v>260</x:v>
      </x:c>
      <x:c r="B16" s="14" t="str">
        <x:v>TRUE</x:v>
      </x:c>
      <x:c r="C16" s="14" t="str">
        <x:v>TRUE</x:v>
      </x:c>
      <x:c r="D16" s="14" t="str">
        <x:v>TRUE</x:v>
      </x:c>
      <x:c r="E16" s="14" t="str">
        <x:v>3</x:v>
      </x:c>
      <x:c r="F16" s="14" t="str">
        <x:v>TRUE</x:v>
      </x:c>
      <x:c r="G16" s="14" t="str"/>
    </x:row>
    <x:row r="17" ht="20" customHeight="1">
      <x:c r="A17" s="14" t="str">
        <x:v>360</x:v>
      </x:c>
      <x:c r="B17" s="14" t="str">
        <x:v>FALSE</x:v>
      </x:c>
      <x:c r="C17" s="14" t="str">
        <x:v>TRUE</x:v>
      </x:c>
      <x:c r="D17" s="14" t="str">
        <x:v>TRUE</x:v>
      </x:c>
      <x:c r="E17" s="14" t="str">
        <x:v>2</x:v>
      </x:c>
      <x:c r="F17" s="14" t="str">
        <x:v>FALSE</x:v>
      </x:c>
      <x:c r="G17" s="14" t="str">
        <x:v>planktonic streamwater</x:v>
      </x:c>
    </x:row>
    <x:row r="18" ht="20" customHeight="1">
      <x:c r="A18" s="14" t="str">
        <x:v>43</x:v>
      </x:c>
      <x:c r="B18" s="14" t="str">
        <x:v>FALSE</x:v>
      </x:c>
      <x:c r="C18" s="14" t="str">
        <x:v>TRUE</x:v>
      </x:c>
      <x:c r="D18" s="14" t="str">
        <x:v>TRUE</x:v>
      </x:c>
      <x:c r="E18" s="14" t="str">
        <x:v>2</x:v>
      </x:c>
      <x:c r="F18" s="14" t="str">
        <x:v>FALSE</x:v>
      </x:c>
      <x:c r="G18" s="14" t="str">
        <x:v>planktonic streamwater</x:v>
      </x:c>
    </x:row>
    <x:row r="19" ht="20" customHeight="1">
      <x:c r="A19" s="14" t="str">
        <x:v>45</x:v>
      </x:c>
      <x:c r="B19" s="14" t="str">
        <x:v>FALSE</x:v>
      </x:c>
      <x:c r="C19" s="14" t="str">
        <x:v>FALSE</x:v>
      </x:c>
      <x:c r="D19" s="14" t="str">
        <x:v>TRUE</x:v>
      </x:c>
      <x:c r="E19" s="14" t="str">
        <x:v>1</x:v>
      </x:c>
      <x:c r="F19" s="14" t="str">
        <x:v>FALSE</x:v>
      </x:c>
      <x:c r="G19" s="14" t="str">
        <x:v>planktonic streamwater; hyporheic water</x:v>
      </x:c>
    </x:row>
    <x:row r="20" ht="20" customHeight="1">
      <x:c r="A20" s="14" t="str">
        <x:v>47</x:v>
      </x:c>
      <x:c r="B20" s="14" t="str">
        <x:v>FALSE</x:v>
      </x:c>
      <x:c r="C20" s="14" t="str">
        <x:v>TRUE</x:v>
      </x:c>
      <x:c r="D20" s="14" t="str">
        <x:v>TRUE</x:v>
      </x:c>
      <x:c r="E20" s="14" t="str">
        <x:v>2</x:v>
      </x:c>
      <x:c r="F20" s="14" t="str">
        <x:v>FALSE</x:v>
      </x:c>
      <x:c r="G20" s="14" t="str">
        <x:v>planktonic streamwater</x:v>
      </x:c>
    </x:row>
    <x:row r="21" ht="20" customHeight="1">
      <x:c r="A21" s="14" t="str">
        <x:v>49</x:v>
      </x:c>
      <x:c r="B21" s="14" t="str">
        <x:v>FALSE</x:v>
      </x:c>
      <x:c r="C21" s="14" t="str">
        <x:v>TRUE</x:v>
      </x:c>
      <x:c r="D21" s="14" t="str">
        <x:v>TRUE</x:v>
      </x:c>
      <x:c r="E21" s="14" t="str">
        <x:v>2</x:v>
      </x:c>
      <x:c r="F21" s="14" t="str">
        <x:v>FALSE</x:v>
      </x:c>
      <x:c r="G21" s="14" t="str">
        <x:v>planktonic streamwater</x:v>
      </x:c>
    </x:row>
    <x:row r="22" ht="20" customHeight="1">
      <x:c r="A22" s="14" t="str">
        <x:v>50</x:v>
      </x:c>
      <x:c r="B22" s="14" t="str">
        <x:v>TRUE</x:v>
      </x:c>
      <x:c r="C22" s="14" t="str">
        <x:v>TRUE</x:v>
      </x:c>
      <x:c r="D22" s="14" t="str">
        <x:v>TRUE</x:v>
      </x:c>
      <x:c r="E22" s="14" t="str">
        <x:v>3</x:v>
      </x:c>
      <x:c r="F22" s="14" t="str">
        <x:v>TRUE</x:v>
      </x:c>
      <x:c r="G22" s="14" t="str"/>
    </x:row>
    <x:row r="23" ht="20" customHeight="1">
      <x:c r="A23" s="14" t="str">
        <x:v>53</x:v>
      </x:c>
      <x:c r="B23" s="14" t="str">
        <x:v>TRUE</x:v>
      </x:c>
      <x:c r="C23" s="14" t="str">
        <x:v>FALSE</x:v>
      </x:c>
      <x:c r="D23" s="14" t="str">
        <x:v>TRUE</x:v>
      </x:c>
      <x:c r="E23" s="14" t="str">
        <x:v>2</x:v>
      </x:c>
      <x:c r="F23" s="14" t="str">
        <x:v>FALSE</x:v>
      </x:c>
      <x:c r="G23" s="14" t="str">
        <x:v>hyporheic water</x:v>
      </x:c>
    </x:row>
    <x:row r="24" ht="20" customHeight="1">
      <x:c r="A24" s="14" t="str">
        <x:v>54</x:v>
      </x:c>
      <x:c r="B24" s="14" t="str">
        <x:v>FALSE</x:v>
      </x:c>
      <x:c r="C24" s="14" t="str">
        <x:v>TRUE</x:v>
      </x:c>
      <x:c r="D24" s="14" t="str">
        <x:v>TRUE</x:v>
      </x:c>
      <x:c r="E24" s="14" t="str">
        <x:v>2</x:v>
      </x:c>
      <x:c r="F24" s="14" t="str">
        <x:v>FALSE</x:v>
      </x:c>
      <x:c r="G24" s="14" t="str">
        <x:v>planktonic streamwater</x:v>
      </x:c>
    </x:row>
    <x:row r="25" ht="20" customHeight="1">
      <x:c r="A25" s="14" t="str">
        <x:v>56</x:v>
      </x:c>
      <x:c r="B25" s="14" t="str">
        <x:v>TRUE</x:v>
      </x:c>
      <x:c r="C25" s="14" t="str">
        <x:v>TRUE</x:v>
      </x:c>
      <x:c r="D25" s="14" t="str">
        <x:v>TRUE</x:v>
      </x:c>
      <x:c r="E25" s="14" t="str">
        <x:v>3</x:v>
      </x:c>
      <x:c r="F25" s="14" t="str">
        <x:v>TRUE</x:v>
      </x:c>
      <x:c r="G25" s="14" t="str"/>
    </x:row>
    <x:row r="26" ht="20" customHeight="1">
      <x:c r="A26" s="14" t="str">
        <x:v>57</x:v>
      </x:c>
      <x:c r="B26" s="14" t="str">
        <x:v>FALSE</x:v>
      </x:c>
      <x:c r="C26" s="14" t="str">
        <x:v>TRUE</x:v>
      </x:c>
      <x:c r="D26" s="14" t="str">
        <x:v>TRUE</x:v>
      </x:c>
      <x:c r="E26" s="14" t="str">
        <x:v>2</x:v>
      </x:c>
      <x:c r="F26" s="14" t="str">
        <x:v>FALSE</x:v>
      </x:c>
      <x:c r="G26" s="14" t="str">
        <x:v>planktonic streamwater</x:v>
      </x:c>
    </x:row>
    <x:row r="27" ht="20" customHeight="1">
      <x:c r="A27" s="14" t="str">
        <x:v>58</x:v>
      </x:c>
      <x:c r="B27" s="14" t="str">
        <x:v>TRUE</x:v>
      </x:c>
      <x:c r="C27" s="14" t="str">
        <x:v>FALSE</x:v>
      </x:c>
      <x:c r="D27" s="14" t="str">
        <x:v>TRUE</x:v>
      </x:c>
      <x:c r="E27" s="14" t="str">
        <x:v>2</x:v>
      </x:c>
      <x:c r="F27" s="14" t="str">
        <x:v>FALSE</x:v>
      </x:c>
      <x:c r="G27" s="14" t="str">
        <x:v>hyporheic water</x:v>
      </x:c>
    </x:row>
    <x:row r="28" ht="20" customHeight="1">
      <x:c r="A28" s="14" t="str">
        <x:v>60</x:v>
      </x:c>
      <x:c r="B28" s="14" t="str">
        <x:v>FALSE</x:v>
      </x:c>
      <x:c r="C28" s="14" t="str">
        <x:v>TRUE</x:v>
      </x:c>
      <x:c r="D28" s="14" t="str">
        <x:v>TRUE</x:v>
      </x:c>
      <x:c r="E28" s="14" t="str">
        <x:v>2</x:v>
      </x:c>
      <x:c r="F28" s="14" t="str">
        <x:v>FALSE</x:v>
      </x:c>
      <x:c r="G28" s="14" t="str">
        <x:v>planktonic streamwater</x:v>
      </x:c>
    </x:row>
    <x:row r="29" ht="20" customHeight="1">
      <x:c r="A29" s="14" t="str">
        <x:v>64</x:v>
      </x:c>
      <x:c r="B29" s="14" t="str">
        <x:v>TRUE</x:v>
      </x:c>
      <x:c r="C29" s="14" t="str">
        <x:v>TRUE</x:v>
      </x:c>
      <x:c r="D29" s="14" t="str">
        <x:v>TRUE</x:v>
      </x:c>
      <x:c r="E29" s="14" t="str">
        <x:v>3</x:v>
      </x:c>
      <x:c r="F29" s="14" t="str">
        <x:v>TRUE</x:v>
      </x:c>
      <x:c r="G29" s="14" t="str"/>
    </x:row>
    <x:row r="30" ht="20" customHeight="1">
      <x:c r="A30" s="14" t="str">
        <x:v>65</x:v>
      </x:c>
      <x:c r="B30" s="14" t="str">
        <x:v>FALSE</x:v>
      </x:c>
      <x:c r="C30" s="14" t="str">
        <x:v>FALSE</x:v>
      </x:c>
      <x:c r="D30" s="14" t="str">
        <x:v>TRUE</x:v>
      </x:c>
      <x:c r="E30" s="14" t="str">
        <x:v>1</x:v>
      </x:c>
      <x:c r="F30" s="14" t="str">
        <x:v>FALSE</x:v>
      </x:c>
      <x:c r="G30" s="14" t="str">
        <x:v>planktonic streamwater; hyporheic water</x:v>
      </x:c>
    </x:row>
    <x:row r="31" ht="20" customHeight="1">
      <x:c r="A31" s="14" t="str">
        <x:v>66</x:v>
      </x:c>
      <x:c r="B31" s="14" t="str">
        <x:v>FALSE</x:v>
      </x:c>
      <x:c r="C31" s="14" t="str">
        <x:v>FALSE</x:v>
      </x:c>
      <x:c r="D31" s="14" t="str">
        <x:v>TRUE</x:v>
      </x:c>
      <x:c r="E31" s="14" t="str">
        <x:v>1</x:v>
      </x:c>
      <x:c r="F31" s="14" t="str">
        <x:v>FALSE</x:v>
      </x:c>
      <x:c r="G31" s="14" t="str">
        <x:v>planktonic streamwater; hyporheic water</x:v>
      </x:c>
    </x:row>
    <x:row r="32" ht="20" customHeight="1">
      <x:c r="A32" s="14" t="str">
        <x:v>67</x:v>
      </x:c>
      <x:c r="B32" s="14" t="str">
        <x:v>TRUE</x:v>
      </x:c>
      <x:c r="C32" s="14" t="str">
        <x:v>FALSE</x:v>
      </x:c>
      <x:c r="D32" s="14" t="str">
        <x:v>FALSE</x:v>
      </x:c>
      <x:c r="E32" s="14" t="str">
        <x:v>1</x:v>
      </x:c>
      <x:c r="F32" s="14" t="str">
        <x:v>FALSE</x:v>
      </x:c>
      <x:c r="G32" s="14" t="str">
        <x:v>hyporheic water; stream sediment</x:v>
      </x:c>
    </x:row>
    <x:row r="33" ht="20" customHeight="1">
      <x:c r="A33" s="14" t="str">
        <x:v>68</x:v>
      </x:c>
      <x:c r="B33" s="14" t="str">
        <x:v>FALSE</x:v>
      </x:c>
      <x:c r="C33" s="14" t="str">
        <x:v>TRUE</x:v>
      </x:c>
      <x:c r="D33" s="14" t="str">
        <x:v>TRUE</x:v>
      </x:c>
      <x:c r="E33" s="14" t="str">
        <x:v>2</x:v>
      </x:c>
      <x:c r="F33" s="14" t="str">
        <x:v>FALSE</x:v>
      </x:c>
      <x:c r="G33" s="14" t="str">
        <x:v>planktonic streamwater</x:v>
      </x:c>
    </x:row>
    <x:row r="34" ht="20" customHeight="1">
      <x:c r="A34" s="14" t="str">
        <x:v>71</x:v>
      </x:c>
      <x:c r="B34" s="14" t="str">
        <x:v>FALSE</x:v>
      </x:c>
      <x:c r="C34" s="14" t="str">
        <x:v>TRUE</x:v>
      </x:c>
      <x:c r="D34" s="14" t="str">
        <x:v>FALSE</x:v>
      </x:c>
      <x:c r="E34" s="14" t="str">
        <x:v>1</x:v>
      </x:c>
      <x:c r="F34" s="14" t="str">
        <x:v>FALSE</x:v>
      </x:c>
      <x:c r="G34" s="14" t="str">
        <x:v>planktonic streamwater; stream sediment</x:v>
      </x:c>
    </x:row>
    <x:row r="35" ht="20" customHeight="1">
      <x:c r="A35" s="14" t="str">
        <x:v>72</x:v>
      </x:c>
      <x:c r="B35" s="14" t="str">
        <x:v>FALSE</x:v>
      </x:c>
      <x:c r="C35" s="14" t="str">
        <x:v>FALSE</x:v>
      </x:c>
      <x:c r="D35" s="14" t="str">
        <x:v>TRUE</x:v>
      </x:c>
      <x:c r="E35" s="14" t="str">
        <x:v>1</x:v>
      </x:c>
      <x:c r="F35" s="14" t="str">
        <x:v>FALSE</x:v>
      </x:c>
      <x:c r="G35" s="14" t="str">
        <x:v>planktonic streamwater; hyporheic water</x:v>
      </x:c>
    </x:row>
    <x:row r="36" ht="20" customHeight="1">
      <x:c r="A36" s="14" t="str">
        <x:v>73</x:v>
      </x:c>
      <x:c r="B36" s="14" t="str">
        <x:v>FALSE</x:v>
      </x:c>
      <x:c r="C36" s="14" t="str">
        <x:v>TRUE</x:v>
      </x:c>
      <x:c r="D36" s="14" t="str">
        <x:v>FALSE</x:v>
      </x:c>
      <x:c r="E36" s="14" t="str">
        <x:v>1</x:v>
      </x:c>
      <x:c r="F36" s="14" t="str">
        <x:v>FALSE</x:v>
      </x:c>
      <x:c r="G36" s="14" t="str">
        <x:v>planktonic streamwater; stream sediment</x:v>
      </x:c>
    </x:row>
    <x:row r="37" ht="20" customHeight="1">
      <x:c r="A37" s="14" t="str">
        <x:v>74</x:v>
      </x:c>
      <x:c r="B37" s="14" t="str">
        <x:v>FALSE</x:v>
      </x:c>
      <x:c r="C37" s="14" t="str">
        <x:v>TRUE</x:v>
      </x:c>
      <x:c r="D37" s="14" t="str">
        <x:v>TRUE</x:v>
      </x:c>
      <x:c r="E37" s="14" t="str">
        <x:v>2</x:v>
      </x:c>
      <x:c r="F37" s="14" t="str">
        <x:v>FALSE</x:v>
      </x:c>
      <x:c r="G37" s="14" t="str">
        <x:v>planktonic streamwater</x:v>
      </x:c>
    </x:row>
    <x:row r="38" ht="20" customHeight="1">
      <x:c r="A38" s="14" t="str">
        <x:v>76</x:v>
      </x:c>
      <x:c r="B38" s="14" t="str">
        <x:v>FALSE</x:v>
      </x:c>
      <x:c r="C38" s="14" t="str">
        <x:v>TRUE</x:v>
      </x:c>
      <x:c r="D38" s="14" t="str">
        <x:v>FALSE</x:v>
      </x:c>
      <x:c r="E38" s="14" t="str">
        <x:v>1</x:v>
      </x:c>
      <x:c r="F38" s="14" t="str">
        <x:v>FALSE</x:v>
      </x:c>
      <x:c r="G38" s="14" t="str">
        <x:v>planktonic streamwater; stream sediment</x:v>
      </x:c>
    </x:row>
    <x:row r="39" ht="20" customHeight="1">
      <x:c r="A39" s="14" t="str">
        <x:v>82</x:v>
      </x:c>
      <x:c r="B39" s="14" t="str">
        <x:v>FALSE</x:v>
      </x:c>
      <x:c r="C39" s="14" t="str">
        <x:v>FALSE</x:v>
      </x:c>
      <x:c r="D39" s="14" t="str">
        <x:v>TRUE</x:v>
      </x:c>
      <x:c r="E39" s="14" t="str">
        <x:v>1</x:v>
      </x:c>
      <x:c r="F39" s="14" t="str">
        <x:v>FALSE</x:v>
      </x:c>
      <x:c r="G39" s="14" t="str">
        <x:v>planktonic streamwater; hyporheic water</x:v>
      </x:c>
    </x:row>
    <x:row r="40" ht="20" customHeight="1">
      <x:c r="A40" s="14" t="str">
        <x:v>84</x:v>
      </x:c>
      <x:c r="B40" s="14" t="str">
        <x:v>FALSE</x:v>
      </x:c>
      <x:c r="C40" s="14" t="str">
        <x:v>TRUE</x:v>
      </x:c>
      <x:c r="D40" s="14" t="str">
        <x:v>TRUE</x:v>
      </x:c>
      <x:c r="E40" s="14" t="str">
        <x:v>2</x:v>
      </x:c>
      <x:c r="F40" s="14" t="str">
        <x:v>FALSE</x:v>
      </x:c>
      <x:c r="G40" s="14" t="str">
        <x:v>planktonic streamwater</x:v>
      </x:c>
    </x:row>
    <x:row r="41" ht="20" customHeight="1">
      <x:c r="A41" s="14" t="str">
        <x:v>CC-1</x:v>
      </x:c>
      <x:c r="B41" s="14" t="str">
        <x:v>FALSE</x:v>
      </x:c>
      <x:c r="C41" s="14" t="str">
        <x:v>TRUE</x:v>
      </x:c>
      <x:c r="D41" s="14" t="str">
        <x:v>FALSE</x:v>
      </x:c>
      <x:c r="E41" s="14" t="str">
        <x:v>1</x:v>
      </x:c>
      <x:c r="F41" s="14" t="str">
        <x:v>FALSE</x:v>
      </x:c>
      <x:c r="G41" s="14" t="str">
        <x:v>planktonic streamwater; stream sediment</x:v>
      </x:c>
    </x:row>
    <x:row r="42" ht="20" customHeight="1">
      <x:c r="A42" s="14" t="str">
        <x:v>CC-2</x:v>
      </x:c>
      <x:c r="B42" s="14" t="str">
        <x:v>FALSE</x:v>
      </x:c>
      <x:c r="C42" s="14" t="str">
        <x:v>FALSE</x:v>
      </x:c>
      <x:c r="D42" s="14" t="str">
        <x:v>TRUE</x:v>
      </x:c>
      <x:c r="E42" s="14" t="str">
        <x:v>1</x:v>
      </x:c>
      <x:c r="F42" s="14" t="str">
        <x:v>FALSE</x:v>
      </x:c>
      <x:c r="G42" s="14" t="str">
        <x:v>planktonic streamwater; hyporheic water</x:v>
      </x:c>
    </x:row>
    <x:row r="43" ht="20" customHeight="1">
      <x:c r="A43" s="14" t="str">
        <x:v>CC-3</x:v>
      </x:c>
      <x:c r="B43" s="14" t="str">
        <x:v>FALSE</x:v>
      </x:c>
      <x:c r="C43" s="14" t="str">
        <x:v>FALSE</x:v>
      </x:c>
      <x:c r="D43" s="14" t="str">
        <x:v>TRUE</x:v>
      </x:c>
      <x:c r="E43" s="14" t="str">
        <x:v>1</x:v>
      </x:c>
      <x:c r="F43" s="14" t="str">
        <x:v>FALSE</x:v>
      </x:c>
      <x:c r="G43" s="14" t="str">
        <x:v>planktonic streamwater; hyporheic water</x:v>
      </x:c>
    </x:row>
    <x:row r="44" ht="20" customHeight="1">
      <x:c r="A44" s="14" t="str">
        <x:v>CC-4</x:v>
      </x:c>
      <x:c r="B44" s="14" t="str">
        <x:v>FALSE</x:v>
      </x:c>
      <x:c r="C44" s="14" t="str">
        <x:v>FALSE</x:v>
      </x:c>
      <x:c r="D44" s="14" t="str">
        <x:v>TRUE</x:v>
      </x:c>
      <x:c r="E44" s="14" t="str">
        <x:v>1</x:v>
      </x:c>
      <x:c r="F44" s="14" t="str">
        <x:v>FALSE</x:v>
      </x:c>
      <x:c r="G44" s="14" t="str">
        <x:v>planktonic streamwater; hyporheic water</x:v>
      </x:c>
    </x:row>
    <x:row r="45" ht="20" customHeight="1">
      <x:c r="A45" s="14" t="str">
        <x:v>KC-1</x:v>
      </x:c>
      <x:c r="B45" s="14" t="str">
        <x:v>FALSE</x:v>
      </x:c>
      <x:c r="C45" s="14" t="str">
        <x:v>TRUE</x:v>
      </x:c>
      <x:c r="D45" s="14" t="str">
        <x:v>TRUE</x:v>
      </x:c>
      <x:c r="E45" s="14" t="str">
        <x:v>2</x:v>
      </x:c>
      <x:c r="F45" s="14" t="str">
        <x:v>FALSE</x:v>
      </x:c>
      <x:c r="G45" s="14" t="str">
        <x:v>planktonic streamwater</x:v>
      </x:c>
    </x:row>
    <x:row r="46" ht="20" customHeight="1">
      <x:c r="A46" s="14" t="str">
        <x:v>KC-2</x:v>
      </x:c>
      <x:c r="B46" s="14" t="str">
        <x:v>TRUE</x:v>
      </x:c>
      <x:c r="C46" s="14" t="str">
        <x:v>TRUE</x:v>
      </x:c>
      <x:c r="D46" s="14" t="str">
        <x:v>FALSE</x:v>
      </x:c>
      <x:c r="E46" s="14" t="str">
        <x:v>2</x:v>
      </x:c>
      <x:c r="F46" s="14" t="str">
        <x:v>FALSE</x:v>
      </x:c>
      <x:c r="G46" s="14" t="str">
        <x:v>stream sediment</x:v>
      </x:c>
    </x:row>
    <x:row r="47" ht="20" customHeight="1">
      <x:c r="A47" s="14" t="str">
        <x:v>KC-3</x:v>
      </x:c>
      <x:c r="B47" s="14" t="str">
        <x:v>FALSE</x:v>
      </x:c>
      <x:c r="C47" s="14" t="str">
        <x:v>FALSE</x:v>
      </x:c>
      <x:c r="D47" s="14" t="str">
        <x:v>TRUE</x:v>
      </x:c>
      <x:c r="E47" s="14" t="str">
        <x:v>1</x:v>
      </x:c>
      <x:c r="F47" s="14" t="str">
        <x:v>FALSE</x:v>
      </x:c>
      <x:c r="G47" s="14" t="str">
        <x:v>planktonic streamwater; hyporheic water</x:v>
      </x:c>
    </x:row>
    <x:row r="48" ht="20" customHeight="1">
      <x:c r="A48" s="14" t="str">
        <x:v>WS1-2</x:v>
      </x:c>
      <x:c r="B48" s="14" t="str">
        <x:v>FALSE</x:v>
      </x:c>
      <x:c r="C48" s="14" t="str">
        <x:v>TRUE</x:v>
      </x:c>
      <x:c r="D48" s="14" t="str">
        <x:v>TRUE</x:v>
      </x:c>
      <x:c r="E48" s="14" t="str">
        <x:v>2</x:v>
      </x:c>
      <x:c r="F48" s="14" t="str">
        <x:v>FALSE</x:v>
      </x:c>
      <x:c r="G48" s="14" t="str">
        <x:v>planktonic streamwater</x:v>
      </x:c>
    </x:row>
    <x:row r="49" ht="20" customHeight="1">
      <x:c r="A49" s="14" t="str">
        <x:v>WS1-3</x:v>
      </x:c>
      <x:c r="B49" s="14" t="str">
        <x:v>FALSE</x:v>
      </x:c>
      <x:c r="C49" s="14" t="str">
        <x:v>FALSE</x:v>
      </x:c>
      <x:c r="D49" s="14" t="str">
        <x:v>TRUE</x:v>
      </x:c>
      <x:c r="E49" s="14" t="str">
        <x:v>1</x:v>
      </x:c>
      <x:c r="F49" s="14" t="str">
        <x:v>FALSE</x:v>
      </x:c>
      <x:c r="G49" s="14" t="str">
        <x:v>planktonic streamwater; hyporheic water</x:v>
      </x:c>
    </x:row>
    <x:row r="50" ht="20" customHeight="1">
      <x:c r="A50" s="14" t="str">
        <x:v>WS1-4</x:v>
      </x:c>
      <x:c r="B50" s="14" t="str">
        <x:v>TRUE</x:v>
      </x:c>
      <x:c r="C50" s="14" t="str">
        <x:v>FALSE</x:v>
      </x:c>
      <x:c r="D50" s="14" t="str">
        <x:v>FALSE</x:v>
      </x:c>
      <x:c r="E50" s="14" t="str">
        <x:v>1</x:v>
      </x:c>
      <x:c r="F50" s="14" t="str">
        <x:v>FALSE</x:v>
      </x:c>
      <x:c r="G50" s="14" t="str">
        <x:v>hyporheic water; stream sediment</x:v>
      </x:c>
    </x:row>
    <x:row r="51" ht="20" customHeight="1">
      <x:c r="A51" s="14" t="str">
        <x:v>WS1-5</x:v>
      </x:c>
      <x:c r="B51" s="14" t="str">
        <x:v>TRUE</x:v>
      </x:c>
      <x:c r="C51" s="14" t="str">
        <x:v>TRUE</x:v>
      </x:c>
      <x:c r="D51" s="14" t="str">
        <x:v>TRUE</x:v>
      </x:c>
      <x:c r="E51" s="14" t="str">
        <x:v>3</x:v>
      </x:c>
      <x:c r="F51" s="14" t="str">
        <x:v>TRUE</x:v>
      </x:c>
      <x:c r="G51" s="14" t="str"/>
    </x:row>
    <x:row r="52" ht="20" customHeight="1">
      <x:c r="A52" s="14" t="str">
        <x:v>WS1-6</x:v>
      </x:c>
      <x:c r="B52" s="14" t="str">
        <x:v>TRUE</x:v>
      </x:c>
      <x:c r="C52" s="14" t="str">
        <x:v>TRUE</x:v>
      </x:c>
      <x:c r="D52" s="14" t="str">
        <x:v>TRUE</x:v>
      </x:c>
      <x:c r="E52" s="14" t="str">
        <x:v>3</x:v>
      </x:c>
      <x:c r="F52" s="14" t="str">
        <x:v>TRUE</x:v>
      </x:c>
      <x:c r="G52" s="14" t="str"/>
    </x:row>
    <x:row r="53" ht="20" customHeight="1">
      <x:c r="A53" s="14" t="str">
        <x:v>WS1-7</x:v>
      </x:c>
      <x:c r="B53" s="14" t="str">
        <x:v>FALSE</x:v>
      </x:c>
      <x:c r="C53" s="14" t="str">
        <x:v>TRUE</x:v>
      </x:c>
      <x:c r="D53" s="14" t="str">
        <x:v>FALSE</x:v>
      </x:c>
      <x:c r="E53" s="14" t="str">
        <x:v>1</x:v>
      </x:c>
      <x:c r="F53" s="14" t="str">
        <x:v>FALSE</x:v>
      </x:c>
      <x:c r="G53" s="14" t="str">
        <x:v>planktonic streamwater; stream sediment</x:v>
      </x:c>
    </x:row>
    <x:row r="54" ht="20" customHeight="1">
      <x:c r="A54" s="14" t="str">
        <x:v>WS1-8</x:v>
      </x:c>
      <x:c r="B54" s="14" t="str">
        <x:v>FALSE</x:v>
      </x:c>
      <x:c r="C54" s="14" t="str">
        <x:v>FALSE</x:v>
      </x:c>
      <x:c r="D54" s="14" t="str">
        <x:v>TRUE</x:v>
      </x:c>
      <x:c r="E54" s="14" t="str">
        <x:v>1</x:v>
      </x:c>
      <x:c r="F54" s="14" t="str">
        <x:v>FALSE</x:v>
      </x:c>
      <x:c r="G54" s="14" t="str">
        <x:v>planktonic streamwater; hyporheic water</x:v>
      </x:c>
    </x:row>
    <x:row r="55" ht="20" customHeight="1">
      <x:c r="A55" s="14" t="str">
        <x:v>WS3-1</x:v>
      </x:c>
      <x:c r="B55" s="14" t="str">
        <x:v>TRUE</x:v>
      </x:c>
      <x:c r="C55" s="14" t="str">
        <x:v>TRUE</x:v>
      </x:c>
      <x:c r="D55" s="14" t="str">
        <x:v>TRUE</x:v>
      </x:c>
      <x:c r="E55" s="14" t="str">
        <x:v>3</x:v>
      </x:c>
      <x:c r="F55" s="14" t="str">
        <x:v>TRUE</x:v>
      </x:c>
      <x:c r="G55" s="14" t="str"/>
    </x:row>
    <x:row r="56" ht="20" customHeight="1">
      <x:c r="A56" s="14" t="str">
        <x:v>WS3-2</x:v>
      </x:c>
      <x:c r="B56" s="14" t="str">
        <x:v>FALSE</x:v>
      </x:c>
      <x:c r="C56" s="14" t="str">
        <x:v>FALSE</x:v>
      </x:c>
      <x:c r="D56" s="14" t="str">
        <x:v>TRUE</x:v>
      </x:c>
      <x:c r="E56" s="14" t="str">
        <x:v>1</x:v>
      </x:c>
      <x:c r="F56" s="14" t="str">
        <x:v>FALSE</x:v>
      </x:c>
      <x:c r="G56" s="14" t="str">
        <x:v>planktonic streamwater; hyporheic water</x:v>
      </x:c>
    </x:row>
    <x:row r="57" ht="20" customHeight="1">
      <x:c r="A57" s="14" t="str">
        <x:v>WS3-3</x:v>
      </x:c>
      <x:c r="B57" s="14" t="str">
        <x:v>FALSE</x:v>
      </x:c>
      <x:c r="C57" s="14" t="str">
        <x:v>TRUE</x:v>
      </x:c>
      <x:c r="D57" s="14" t="str">
        <x:v>TRUE</x:v>
      </x:c>
      <x:c r="E57" s="14" t="str">
        <x:v>2</x:v>
      </x:c>
      <x:c r="F57" s="14" t="str">
        <x:v>FALSE</x:v>
      </x:c>
      <x:c r="G57" s="14" t="str">
        <x:v>planktonic streamwater</x:v>
      </x:c>
    </x:row>
    <x:row r="58" ht="20" customHeight="1">
      <x:c r="A58" s="14" t="str">
        <x:v>WS3-4</x:v>
      </x:c>
      <x:c r="B58" s="14" t="str">
        <x:v>TRUE</x:v>
      </x:c>
      <x:c r="C58" s="14" t="str">
        <x:v>FALSE</x:v>
      </x:c>
      <x:c r="D58" s="14" t="str">
        <x:v>TRUE</x:v>
      </x:c>
      <x:c r="E58" s="14" t="str">
        <x:v>2</x:v>
      </x:c>
      <x:c r="F58" s="14" t="str">
        <x:v>FALSE</x:v>
      </x:c>
      <x:c r="G58" s="14" t="str">
        <x:v>hyporheic water</x:v>
      </x:c>
    </x:row>
    <x:row r="59" ht="20" customHeight="1">
      <x:c r="A59" s="14" t="str">
        <x:v>WS3-5</x:v>
      </x:c>
      <x:c r="B59" s="14" t="str">
        <x:v>FALSE</x:v>
      </x:c>
      <x:c r="C59" s="14" t="str">
        <x:v>FALSE</x:v>
      </x:c>
      <x:c r="D59" s="14" t="str">
        <x:v>TRUE</x:v>
      </x:c>
      <x:c r="E59" s="14" t="str">
        <x:v>1</x:v>
      </x:c>
      <x:c r="F59" s="14" t="str">
        <x:v>FALSE</x:v>
      </x:c>
      <x:c r="G59" s="14" t="str">
        <x:v>planktonic streamwater; hyporheic water</x:v>
      </x:c>
    </x:row>
    <x:row r="60" ht="20" customHeight="1">
      <x:c r="A60" s="15" t="str">
        <x:v>WS3-6</x:v>
      </x:c>
      <x:c r="B60" s="15" t="str">
        <x:v>TRUE</x:v>
      </x:c>
      <x:c r="C60" s="15" t="str">
        <x:v>FALSE</x:v>
      </x:c>
      <x:c r="D60" s="15" t="str">
        <x:v>FALSE</x:v>
      </x:c>
      <x:c r="E60" s="15" t="str">
        <x:v>1</x:v>
      </x:c>
      <x:c r="F60" s="15" t="str">
        <x:v>FALSE</x:v>
      </x:c>
      <x:c r="G60" s="15" t="str">
        <x:v>hyporheic water; stream sediment</x:v>
      </x:c>
    </x:row>
  </x:sheetData>
  <x:conditionalFormatting sqref="F2:F60">
    <x:cfRule type="cellIs" dxfId="2" priority="1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d58869b89c49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72" hidden="0" customWidth="1"/>
    <x:col min="5" max="5" width="72" hidden="0" customWidth="1"/>
  </x:cols>
  <x:sheetData>
    <x:row r="1" ht="34" customHeight="1">
      <x:c r="A1" s="8" t="str">
        <x:v>issue_type</x:v>
      </x:c>
      <x:c r="B1" s="8" t="str">
        <x:v>sample_id</x:v>
      </x:c>
      <x:c r="C1" s="8" t="str">
        <x:v>site_code</x:v>
      </x:c>
      <x:c r="D1" s="8" t="str">
        <x:v>detail</x:v>
      </x:c>
      <x:c r="E1" s="8" t="str">
        <x:v>action</x:v>
      </x:c>
    </x:row>
    <x:row r="2" ht="36" customHeight="1">
      <x:c r="A2" s="13" t="str">
        <x:v>NORMALIZED_SITE_CODE</x:v>
      </x:c>
      <x:c r="B2" s="13" t="str">
        <x:v>hja2016_174</x:v>
      </x:c>
      <x:c r="C2" s="13" t="str">
        <x:v>WS1-8</x:v>
      </x:c>
      <x:c r="D2" s="78" t="str">
        <x:v>Sequence sample list used WS1_S8; master metadata uses WS1-8.</x:v>
      </x:c>
      <x:c r="E2" s="78" t="str">
        <x:v>Automatically normalized to WS1-8.</x:v>
      </x:c>
    </x:row>
    <x:row r="3" ht="36" customHeight="1">
      <x:c r="A3" s="14" t="str">
        <x:v>UNRESOLVED_SOIL_SITE</x:v>
      </x:c>
      <x:c r="B3" s="14" t="str">
        <x:v>hja2016_200</x:v>
      </x:c>
      <x:c r="C3" s="14" t="str"/>
      <x:c r="D3" s="79" t="str">
        <x:v>The local CSV and original Numbers sheet omit this library. NCBI SAMN12129905 confirms soil metagenome but does not identify the site.</x:v>
      </x:c>
      <x:c r="E3" s="79" t="str">
        <x:v>Keep in DADA2; do not attach site-level environmental metadata until identity is confirmed.</x:v>
      </x:c>
    </x:row>
    <x:row r="4" ht="36" customHeight="1">
      <x:c r="A4" s="14" t="str">
        <x:v>SOIL_METADATA_WITHOUT_SEQUENCE</x:v>
      </x:c>
      <x:c r="B4" s="14" t="str"/>
      <x:c r="C4" s="14" t="str">
        <x:v>HJA-2016_soil_05</x:v>
      </x:c>
      <x:c r="D4" s="79" t="str">
        <x:v>Soil metadata row has no mapped FASTQ library.</x:v>
      </x:c>
      <x:c r="E4" s="79" t="str">
        <x:v>Retain metadata; exclude from sequence analyses unless a library is identified.</x:v>
      </x:c>
    </x:row>
    <x:row r="5" ht="36" customHeight="1">
      <x:c r="A5" s="14" t="str">
        <x:v>SOIL_METADATA_WITHOUT_SEQUENCE</x:v>
      </x:c>
      <x:c r="B5" s="14" t="str"/>
      <x:c r="C5" s="14" t="str">
        <x:v>HJA-2016_soil_06</x:v>
      </x:c>
      <x:c r="D5" s="79" t="str">
        <x:v>Soil metadata row has no mapped FASTQ library.</x:v>
      </x:c>
      <x:c r="E5" s="79" t="str">
        <x:v>Retain metadata; exclude from sequence analyses unless a library is identified.</x:v>
      </x:c>
    </x:row>
    <x:row r="6" ht="36" customHeight="1">
      <x:c r="A6" s="14" t="str">
        <x:v>SOIL_METADATA_WITHOUT_SEQUENCE</x:v>
      </x:c>
      <x:c r="B6" s="14" t="str"/>
      <x:c r="C6" s="14" t="str">
        <x:v>HJA-2016_soil_11</x:v>
      </x:c>
      <x:c r="D6" s="79" t="str">
        <x:v>Soil metadata row has no mapped FASTQ library.</x:v>
      </x:c>
      <x:c r="E6" s="79" t="str">
        <x:v>Retain metadata; exclude from sequence analyses unless a library is identified.</x:v>
      </x:c>
    </x:row>
    <x:row r="7" ht="36" customHeight="1">
      <x:c r="A7" s="14" t="str">
        <x:v>INCOMPLETE_AQUATIC_TRIPLET</x:v>
      </x:c>
      <x:c r="B7" s="14" t="str"/>
      <x:c r="C7" s="14" t="str">
        <x:v>155</x:v>
      </x:c>
      <x:c r="D7" s="79" t="str">
        <x:v>Missing: planktonic streamwater</x:v>
      </x:c>
      <x:c r="E7" s="79" t="str">
        <x:v>Treat the design as unbalanced; do not synthesize missing libraries.</x:v>
      </x:c>
    </x:row>
    <x:row r="8" ht="36" customHeight="1">
      <x:c r="A8" s="14" t="str">
        <x:v>INCOMPLETE_AQUATIC_TRIPLET</x:v>
      </x:c>
      <x:c r="B8" s="14" t="str"/>
      <x:c r="C8" s="14" t="str">
        <x:v>160</x:v>
      </x:c>
      <x:c r="D8" s="79" t="str">
        <x:v>Missing: stream sediment</x:v>
      </x:c>
      <x:c r="E8" s="79" t="str">
        <x:v>Treat the design as unbalanced; do not synthesize missing libraries.</x:v>
      </x:c>
    </x:row>
    <x:row r="9" ht="36" customHeight="1">
      <x:c r="A9" s="14" t="str">
        <x:v>INCOMPLETE_AQUATIC_TRIPLET</x:v>
      </x:c>
      <x:c r="B9" s="14" t="str"/>
      <x:c r="C9" s="14" t="str">
        <x:v>161</x:v>
      </x:c>
      <x:c r="D9" s="79" t="str">
        <x:v>Missing: planktonic streamwater</x:v>
      </x:c>
      <x:c r="E9" s="79" t="str">
        <x:v>Treat the design as unbalanced; do not synthesize missing libraries.</x:v>
      </x:c>
    </x:row>
    <x:row r="10" ht="36" customHeight="1">
      <x:c r="A10" s="14" t="str">
        <x:v>INCOMPLETE_AQUATIC_TRIPLET</x:v>
      </x:c>
      <x:c r="B10" s="14" t="str"/>
      <x:c r="C10" s="14" t="str">
        <x:v>162</x:v>
      </x:c>
      <x:c r="D10" s="79" t="str">
        <x:v>Missing: hyporheic water; stream sediment</x:v>
      </x:c>
      <x:c r="E10" s="79" t="str">
        <x:v>Treat the design as unbalanced; do not synthesize missing libraries.</x:v>
      </x:c>
    </x:row>
    <x:row r="11" ht="36" customHeight="1">
      <x:c r="A11" s="14" t="str">
        <x:v>INCOMPLETE_AQUATIC_TRIPLET</x:v>
      </x:c>
      <x:c r="B11" s="14" t="str"/>
      <x:c r="C11" s="14" t="str">
        <x:v>163</x:v>
      </x:c>
      <x:c r="D11" s="79" t="str">
        <x:v>Missing: planktonic streamwater</x:v>
      </x:c>
      <x:c r="E11" s="79" t="str">
        <x:v>Treat the design as unbalanced; do not synthesize missing libraries.</x:v>
      </x:c>
    </x:row>
    <x:row r="12" ht="36" customHeight="1">
      <x:c r="A12" s="14" t="str">
        <x:v>INCOMPLETE_AQUATIC_TRIPLET</x:v>
      </x:c>
      <x:c r="B12" s="14" t="str"/>
      <x:c r="C12" s="14" t="str">
        <x:v>164</x:v>
      </x:c>
      <x:c r="D12" s="79" t="str">
        <x:v>Missing: stream sediment</x:v>
      </x:c>
      <x:c r="E12" s="79" t="str">
        <x:v>Treat the design as unbalanced; do not synthesize missing libraries.</x:v>
      </x:c>
    </x:row>
    <x:row r="13" ht="36" customHeight="1">
      <x:c r="A13" s="14" t="str">
        <x:v>INCOMPLETE_AQUATIC_TRIPLET</x:v>
      </x:c>
      <x:c r="B13" s="14" t="str"/>
      <x:c r="C13" s="14" t="str">
        <x:v>169</x:v>
      </x:c>
      <x:c r="D13" s="79" t="str">
        <x:v>Missing: hyporheic water</x:v>
      </x:c>
      <x:c r="E13" s="79" t="str">
        <x:v>Treat the design as unbalanced; do not synthesize missing libraries.</x:v>
      </x:c>
    </x:row>
    <x:row r="14" ht="36" customHeight="1">
      <x:c r="A14" s="14" t="str">
        <x:v>INCOMPLETE_AQUATIC_TRIPLET</x:v>
      </x:c>
      <x:c r="B14" s="14" t="str"/>
      <x:c r="C14" s="14" t="str">
        <x:v>170</x:v>
      </x:c>
      <x:c r="D14" s="79" t="str">
        <x:v>Missing: hyporheic water</x:v>
      </x:c>
      <x:c r="E14" s="79" t="str">
        <x:v>Treat the design as unbalanced; do not synthesize missing libraries.</x:v>
      </x:c>
    </x:row>
    <x:row r="15" ht="36" customHeight="1">
      <x:c r="A15" s="14" t="str">
        <x:v>INCOMPLETE_AQUATIC_TRIPLET</x:v>
      </x:c>
      <x:c r="B15" s="14" t="str"/>
      <x:c r="C15" s="14" t="str">
        <x:v>177</x:v>
      </x:c>
      <x:c r="D15" s="79" t="str">
        <x:v>Missing: planktonic streamwater</x:v>
      </x:c>
      <x:c r="E15" s="79" t="str">
        <x:v>Treat the design as unbalanced; do not synthesize missing libraries.</x:v>
      </x:c>
    </x:row>
    <x:row r="16" ht="36" customHeight="1">
      <x:c r="A16" s="14" t="str">
        <x:v>INCOMPLETE_AQUATIC_TRIPLET</x:v>
      </x:c>
      <x:c r="B16" s="14" t="str"/>
      <x:c r="C16" s="14" t="str">
        <x:v>178</x:v>
      </x:c>
      <x:c r="D16" s="79" t="str">
        <x:v>Missing: hyporheic water; stream sediment</x:v>
      </x:c>
      <x:c r="E16" s="79" t="str">
        <x:v>Treat the design as unbalanced; do not synthesize missing libraries.</x:v>
      </x:c>
    </x:row>
    <x:row r="17" ht="36" customHeight="1">
      <x:c r="A17" s="14" t="str">
        <x:v>INCOMPLETE_AQUATIC_TRIPLET</x:v>
      </x:c>
      <x:c r="B17" s="14" t="str"/>
      <x:c r="C17" s="14" t="str">
        <x:v>192</x:v>
      </x:c>
      <x:c r="D17" s="79" t="str">
        <x:v>Missing: stream sediment</x:v>
      </x:c>
      <x:c r="E17" s="79" t="str">
        <x:v>Treat the design as unbalanced; do not synthesize missing libraries.</x:v>
      </x:c>
    </x:row>
    <x:row r="18" ht="36" customHeight="1">
      <x:c r="A18" s="14" t="str">
        <x:v>INCOMPLETE_AQUATIC_TRIPLET</x:v>
      </x:c>
      <x:c r="B18" s="14" t="str"/>
      <x:c r="C18" s="14" t="str">
        <x:v>360</x:v>
      </x:c>
      <x:c r="D18" s="79" t="str">
        <x:v>Missing: planktonic streamwater</x:v>
      </x:c>
      <x:c r="E18" s="79" t="str">
        <x:v>Treat the design as unbalanced; do not synthesize missing libraries.</x:v>
      </x:c>
    </x:row>
    <x:row r="19" ht="36" customHeight="1">
      <x:c r="A19" s="14" t="str">
        <x:v>INCOMPLETE_AQUATIC_TRIPLET</x:v>
      </x:c>
      <x:c r="B19" s="14" t="str"/>
      <x:c r="C19" s="14" t="str">
        <x:v>43</x:v>
      </x:c>
      <x:c r="D19" s="79" t="str">
        <x:v>Missing: planktonic streamwater</x:v>
      </x:c>
      <x:c r="E19" s="79" t="str">
        <x:v>Treat the design as unbalanced; do not synthesize missing libraries.</x:v>
      </x:c>
    </x:row>
    <x:row r="20" ht="36" customHeight="1">
      <x:c r="A20" s="14" t="str">
        <x:v>INCOMPLETE_AQUATIC_TRIPLET</x:v>
      </x:c>
      <x:c r="B20" s="14" t="str"/>
      <x:c r="C20" s="14" t="str">
        <x:v>45</x:v>
      </x:c>
      <x:c r="D20" s="79" t="str">
        <x:v>Missing: planktonic streamwater; hyporheic water</x:v>
      </x:c>
      <x:c r="E20" s="79" t="str">
        <x:v>Treat the design as unbalanced; do not synthesize missing libraries.</x:v>
      </x:c>
    </x:row>
    <x:row r="21" ht="36" customHeight="1">
      <x:c r="A21" s="14" t="str">
        <x:v>INCOMPLETE_AQUATIC_TRIPLET</x:v>
      </x:c>
      <x:c r="B21" s="14" t="str"/>
      <x:c r="C21" s="14" t="str">
        <x:v>47</x:v>
      </x:c>
      <x:c r="D21" s="79" t="str">
        <x:v>Missing: planktonic streamwater</x:v>
      </x:c>
      <x:c r="E21" s="79" t="str">
        <x:v>Treat the design as unbalanced; do not synthesize missing libraries.</x:v>
      </x:c>
    </x:row>
    <x:row r="22" ht="36" customHeight="1">
      <x:c r="A22" s="14" t="str">
        <x:v>INCOMPLETE_AQUATIC_TRIPLET</x:v>
      </x:c>
      <x:c r="B22" s="14" t="str"/>
      <x:c r="C22" s="14" t="str">
        <x:v>49</x:v>
      </x:c>
      <x:c r="D22" s="79" t="str">
        <x:v>Missing: planktonic streamwater</x:v>
      </x:c>
      <x:c r="E22" s="79" t="str">
        <x:v>Treat the design as unbalanced; do not synthesize missing libraries.</x:v>
      </x:c>
    </x:row>
    <x:row r="23" ht="36" customHeight="1">
      <x:c r="A23" s="14" t="str">
        <x:v>INCOMPLETE_AQUATIC_TRIPLET</x:v>
      </x:c>
      <x:c r="B23" s="14" t="str"/>
      <x:c r="C23" s="14" t="str">
        <x:v>53</x:v>
      </x:c>
      <x:c r="D23" s="79" t="str">
        <x:v>Missing: hyporheic water</x:v>
      </x:c>
      <x:c r="E23" s="79" t="str">
        <x:v>Treat the design as unbalanced; do not synthesize missing libraries.</x:v>
      </x:c>
    </x:row>
    <x:row r="24" ht="36" customHeight="1">
      <x:c r="A24" s="14" t="str">
        <x:v>INCOMPLETE_AQUATIC_TRIPLET</x:v>
      </x:c>
      <x:c r="B24" s="14" t="str"/>
      <x:c r="C24" s="14" t="str">
        <x:v>54</x:v>
      </x:c>
      <x:c r="D24" s="79" t="str">
        <x:v>Missing: planktonic streamwater</x:v>
      </x:c>
      <x:c r="E24" s="79" t="str">
        <x:v>Treat the design as unbalanced; do not synthesize missing libraries.</x:v>
      </x:c>
    </x:row>
    <x:row r="25" ht="36" customHeight="1">
      <x:c r="A25" s="14" t="str">
        <x:v>INCOMPLETE_AQUATIC_TRIPLET</x:v>
      </x:c>
      <x:c r="B25" s="14" t="str"/>
      <x:c r="C25" s="14" t="str">
        <x:v>57</x:v>
      </x:c>
      <x:c r="D25" s="79" t="str">
        <x:v>Missing: planktonic streamwater</x:v>
      </x:c>
      <x:c r="E25" s="79" t="str">
        <x:v>Treat the design as unbalanced; do not synthesize missing libraries.</x:v>
      </x:c>
    </x:row>
    <x:row r="26" ht="36" customHeight="1">
      <x:c r="A26" s="14" t="str">
        <x:v>INCOMPLETE_AQUATIC_TRIPLET</x:v>
      </x:c>
      <x:c r="B26" s="14" t="str"/>
      <x:c r="C26" s="14" t="str">
        <x:v>58</x:v>
      </x:c>
      <x:c r="D26" s="79" t="str">
        <x:v>Missing: hyporheic water</x:v>
      </x:c>
      <x:c r="E26" s="79" t="str">
        <x:v>Treat the design as unbalanced; do not synthesize missing libraries.</x:v>
      </x:c>
    </x:row>
    <x:row r="27" ht="36" customHeight="1">
      <x:c r="A27" s="14" t="str">
        <x:v>INCOMPLETE_AQUATIC_TRIPLET</x:v>
      </x:c>
      <x:c r="B27" s="14" t="str"/>
      <x:c r="C27" s="14" t="str">
        <x:v>60</x:v>
      </x:c>
      <x:c r="D27" s="79" t="str">
        <x:v>Missing: planktonic streamwater</x:v>
      </x:c>
      <x:c r="E27" s="79" t="str">
        <x:v>Treat the design as unbalanced; do not synthesize missing libraries.</x:v>
      </x:c>
    </x:row>
    <x:row r="28" ht="36" customHeight="1">
      <x:c r="A28" s="14" t="str">
        <x:v>INCOMPLETE_AQUATIC_TRIPLET</x:v>
      </x:c>
      <x:c r="B28" s="14" t="str"/>
      <x:c r="C28" s="14" t="str">
        <x:v>65</x:v>
      </x:c>
      <x:c r="D28" s="79" t="str">
        <x:v>Missing: planktonic streamwater; hyporheic water</x:v>
      </x:c>
      <x:c r="E28" s="79" t="str">
        <x:v>Treat the design as unbalanced; do not synthesize missing libraries.</x:v>
      </x:c>
    </x:row>
    <x:row r="29" ht="36" customHeight="1">
      <x:c r="A29" s="14" t="str">
        <x:v>INCOMPLETE_AQUATIC_TRIPLET</x:v>
      </x:c>
      <x:c r="B29" s="14" t="str"/>
      <x:c r="C29" s="14" t="str">
        <x:v>66</x:v>
      </x:c>
      <x:c r="D29" s="79" t="str">
        <x:v>Missing: planktonic streamwater; hyporheic water</x:v>
      </x:c>
      <x:c r="E29" s="79" t="str">
        <x:v>Treat the design as unbalanced; do not synthesize missing libraries.</x:v>
      </x:c>
    </x:row>
    <x:row r="30" ht="36" customHeight="1">
      <x:c r="A30" s="14" t="str">
        <x:v>INCOMPLETE_AQUATIC_TRIPLET</x:v>
      </x:c>
      <x:c r="B30" s="14" t="str"/>
      <x:c r="C30" s="14" t="str">
        <x:v>67</x:v>
      </x:c>
      <x:c r="D30" s="79" t="str">
        <x:v>Missing: hyporheic water; stream sediment</x:v>
      </x:c>
      <x:c r="E30" s="79" t="str">
        <x:v>Treat the design as unbalanced; do not synthesize missing libraries.</x:v>
      </x:c>
    </x:row>
    <x:row r="31" ht="36" customHeight="1">
      <x:c r="A31" s="14" t="str">
        <x:v>INCOMPLETE_AQUATIC_TRIPLET</x:v>
      </x:c>
      <x:c r="B31" s="14" t="str"/>
      <x:c r="C31" s="14" t="str">
        <x:v>68</x:v>
      </x:c>
      <x:c r="D31" s="79" t="str">
        <x:v>Missing: planktonic streamwater</x:v>
      </x:c>
      <x:c r="E31" s="79" t="str">
        <x:v>Treat the design as unbalanced; do not synthesize missing libraries.</x:v>
      </x:c>
    </x:row>
    <x:row r="32" ht="36" customHeight="1">
      <x:c r="A32" s="14" t="str">
        <x:v>INCOMPLETE_AQUATIC_TRIPLET</x:v>
      </x:c>
      <x:c r="B32" s="14" t="str"/>
      <x:c r="C32" s="14" t="str">
        <x:v>71</x:v>
      </x:c>
      <x:c r="D32" s="79" t="str">
        <x:v>Missing: planktonic streamwater; stream sediment</x:v>
      </x:c>
      <x:c r="E32" s="79" t="str">
        <x:v>Treat the design as unbalanced; do not synthesize missing libraries.</x:v>
      </x:c>
    </x:row>
    <x:row r="33" ht="36" customHeight="1">
      <x:c r="A33" s="14" t="str">
        <x:v>INCOMPLETE_AQUATIC_TRIPLET</x:v>
      </x:c>
      <x:c r="B33" s="14" t="str"/>
      <x:c r="C33" s="14" t="str">
        <x:v>72</x:v>
      </x:c>
      <x:c r="D33" s="79" t="str">
        <x:v>Missing: planktonic streamwater; hyporheic water</x:v>
      </x:c>
      <x:c r="E33" s="79" t="str">
        <x:v>Treat the design as unbalanced; do not synthesize missing libraries.</x:v>
      </x:c>
    </x:row>
    <x:row r="34" ht="36" customHeight="1">
      <x:c r="A34" s="14" t="str">
        <x:v>INCOMPLETE_AQUATIC_TRIPLET</x:v>
      </x:c>
      <x:c r="B34" s="14" t="str"/>
      <x:c r="C34" s="14" t="str">
        <x:v>73</x:v>
      </x:c>
      <x:c r="D34" s="79" t="str">
        <x:v>Missing: planktonic streamwater; stream sediment</x:v>
      </x:c>
      <x:c r="E34" s="79" t="str">
        <x:v>Treat the design as unbalanced; do not synthesize missing libraries.</x:v>
      </x:c>
    </x:row>
    <x:row r="35" ht="36" customHeight="1">
      <x:c r="A35" s="14" t="str">
        <x:v>INCOMPLETE_AQUATIC_TRIPLET</x:v>
      </x:c>
      <x:c r="B35" s="14" t="str"/>
      <x:c r="C35" s="14" t="str">
        <x:v>74</x:v>
      </x:c>
      <x:c r="D35" s="79" t="str">
        <x:v>Missing: planktonic streamwater</x:v>
      </x:c>
      <x:c r="E35" s="79" t="str">
        <x:v>Treat the design as unbalanced; do not synthesize missing libraries.</x:v>
      </x:c>
    </x:row>
    <x:row r="36" ht="36" customHeight="1">
      <x:c r="A36" s="14" t="str">
        <x:v>INCOMPLETE_AQUATIC_TRIPLET</x:v>
      </x:c>
      <x:c r="B36" s="14" t="str"/>
      <x:c r="C36" s="14" t="str">
        <x:v>76</x:v>
      </x:c>
      <x:c r="D36" s="79" t="str">
        <x:v>Missing: planktonic streamwater; stream sediment</x:v>
      </x:c>
      <x:c r="E36" s="79" t="str">
        <x:v>Treat the design as unbalanced; do not synthesize missing libraries.</x:v>
      </x:c>
    </x:row>
    <x:row r="37" ht="36" customHeight="1">
      <x:c r="A37" s="14" t="str">
        <x:v>INCOMPLETE_AQUATIC_TRIPLET</x:v>
      </x:c>
      <x:c r="B37" s="14" t="str"/>
      <x:c r="C37" s="14" t="str">
        <x:v>82</x:v>
      </x:c>
      <x:c r="D37" s="79" t="str">
        <x:v>Missing: planktonic streamwater; hyporheic water</x:v>
      </x:c>
      <x:c r="E37" s="79" t="str">
        <x:v>Treat the design as unbalanced; do not synthesize missing libraries.</x:v>
      </x:c>
    </x:row>
    <x:row r="38" ht="36" customHeight="1">
      <x:c r="A38" s="14" t="str">
        <x:v>INCOMPLETE_AQUATIC_TRIPLET</x:v>
      </x:c>
      <x:c r="B38" s="14" t="str"/>
      <x:c r="C38" s="14" t="str">
        <x:v>84</x:v>
      </x:c>
      <x:c r="D38" s="79" t="str">
        <x:v>Missing: planktonic streamwater</x:v>
      </x:c>
      <x:c r="E38" s="79" t="str">
        <x:v>Treat the design as unbalanced; do not synthesize missing libraries.</x:v>
      </x:c>
    </x:row>
    <x:row r="39" ht="36" customHeight="1">
      <x:c r="A39" s="14" t="str">
        <x:v>INCOMPLETE_AQUATIC_TRIPLET</x:v>
      </x:c>
      <x:c r="B39" s="14" t="str"/>
      <x:c r="C39" s="14" t="str">
        <x:v>CC-1</x:v>
      </x:c>
      <x:c r="D39" s="79" t="str">
        <x:v>Missing: planktonic streamwater; stream sediment</x:v>
      </x:c>
      <x:c r="E39" s="79" t="str">
        <x:v>Treat the design as unbalanced; do not synthesize missing libraries.</x:v>
      </x:c>
    </x:row>
    <x:row r="40" ht="36" customHeight="1">
      <x:c r="A40" s="14" t="str">
        <x:v>INCOMPLETE_AQUATIC_TRIPLET</x:v>
      </x:c>
      <x:c r="B40" s="14" t="str"/>
      <x:c r="C40" s="14" t="str">
        <x:v>CC-2</x:v>
      </x:c>
      <x:c r="D40" s="79" t="str">
        <x:v>Missing: planktonic streamwater; hyporheic water</x:v>
      </x:c>
      <x:c r="E40" s="79" t="str">
        <x:v>Treat the design as unbalanced; do not synthesize missing libraries.</x:v>
      </x:c>
    </x:row>
    <x:row r="41" ht="36" customHeight="1">
      <x:c r="A41" s="14" t="str">
        <x:v>INCOMPLETE_AQUATIC_TRIPLET</x:v>
      </x:c>
      <x:c r="B41" s="14" t="str"/>
      <x:c r="C41" s="14" t="str">
        <x:v>CC-3</x:v>
      </x:c>
      <x:c r="D41" s="79" t="str">
        <x:v>Missing: planktonic streamwater; hyporheic water</x:v>
      </x:c>
      <x:c r="E41" s="79" t="str">
        <x:v>Treat the design as unbalanced; do not synthesize missing libraries.</x:v>
      </x:c>
    </x:row>
    <x:row r="42" ht="36" customHeight="1">
      <x:c r="A42" s="14" t="str">
        <x:v>INCOMPLETE_AQUATIC_TRIPLET</x:v>
      </x:c>
      <x:c r="B42" s="14" t="str"/>
      <x:c r="C42" s="14" t="str">
        <x:v>CC-4</x:v>
      </x:c>
      <x:c r="D42" s="79" t="str">
        <x:v>Missing: planktonic streamwater; hyporheic water</x:v>
      </x:c>
      <x:c r="E42" s="79" t="str">
        <x:v>Treat the design as unbalanced; do not synthesize missing libraries.</x:v>
      </x:c>
    </x:row>
    <x:row r="43" ht="36" customHeight="1">
      <x:c r="A43" s="14" t="str">
        <x:v>INCOMPLETE_AQUATIC_TRIPLET</x:v>
      </x:c>
      <x:c r="B43" s="14" t="str"/>
      <x:c r="C43" s="14" t="str">
        <x:v>KC-1</x:v>
      </x:c>
      <x:c r="D43" s="79" t="str">
        <x:v>Missing: planktonic streamwater</x:v>
      </x:c>
      <x:c r="E43" s="79" t="str">
        <x:v>Treat the design as unbalanced; do not synthesize missing libraries.</x:v>
      </x:c>
    </x:row>
    <x:row r="44" ht="36" customHeight="1">
      <x:c r="A44" s="14" t="str">
        <x:v>INCOMPLETE_AQUATIC_TRIPLET</x:v>
      </x:c>
      <x:c r="B44" s="14" t="str"/>
      <x:c r="C44" s="14" t="str">
        <x:v>KC-2</x:v>
      </x:c>
      <x:c r="D44" s="79" t="str">
        <x:v>Missing: stream sediment</x:v>
      </x:c>
      <x:c r="E44" s="79" t="str">
        <x:v>Treat the design as unbalanced; do not synthesize missing libraries.</x:v>
      </x:c>
    </x:row>
    <x:row r="45" ht="36" customHeight="1">
      <x:c r="A45" s="14" t="str">
        <x:v>INCOMPLETE_AQUATIC_TRIPLET</x:v>
      </x:c>
      <x:c r="B45" s="14" t="str"/>
      <x:c r="C45" s="14" t="str">
        <x:v>KC-3</x:v>
      </x:c>
      <x:c r="D45" s="79" t="str">
        <x:v>Missing: planktonic streamwater; hyporheic water</x:v>
      </x:c>
      <x:c r="E45" s="79" t="str">
        <x:v>Treat the design as unbalanced; do not synthesize missing libraries.</x:v>
      </x:c>
    </x:row>
    <x:row r="46" ht="36" customHeight="1">
      <x:c r="A46" s="14" t="str">
        <x:v>INCOMPLETE_AQUATIC_TRIPLET</x:v>
      </x:c>
      <x:c r="B46" s="14" t="str"/>
      <x:c r="C46" s="14" t="str">
        <x:v>WS1-2</x:v>
      </x:c>
      <x:c r="D46" s="79" t="str">
        <x:v>Missing: planktonic streamwater</x:v>
      </x:c>
      <x:c r="E46" s="79" t="str">
        <x:v>Treat the design as unbalanced; do not synthesize missing libraries.</x:v>
      </x:c>
    </x:row>
    <x:row r="47" ht="36" customHeight="1">
      <x:c r="A47" s="14" t="str">
        <x:v>INCOMPLETE_AQUATIC_TRIPLET</x:v>
      </x:c>
      <x:c r="B47" s="14" t="str"/>
      <x:c r="C47" s="14" t="str">
        <x:v>WS1-3</x:v>
      </x:c>
      <x:c r="D47" s="79" t="str">
        <x:v>Missing: planktonic streamwater; hyporheic water</x:v>
      </x:c>
      <x:c r="E47" s="79" t="str">
        <x:v>Treat the design as unbalanced; do not synthesize missing libraries.</x:v>
      </x:c>
    </x:row>
    <x:row r="48" ht="36" customHeight="1">
      <x:c r="A48" s="14" t="str">
        <x:v>INCOMPLETE_AQUATIC_TRIPLET</x:v>
      </x:c>
      <x:c r="B48" s="14" t="str"/>
      <x:c r="C48" s="14" t="str">
        <x:v>WS1-4</x:v>
      </x:c>
      <x:c r="D48" s="79" t="str">
        <x:v>Missing: hyporheic water; stream sediment</x:v>
      </x:c>
      <x:c r="E48" s="79" t="str">
        <x:v>Treat the design as unbalanced; do not synthesize missing libraries.</x:v>
      </x:c>
    </x:row>
    <x:row r="49" ht="36" customHeight="1">
      <x:c r="A49" s="14" t="str">
        <x:v>INCOMPLETE_AQUATIC_TRIPLET</x:v>
      </x:c>
      <x:c r="B49" s="14" t="str"/>
      <x:c r="C49" s="14" t="str">
        <x:v>WS1-7</x:v>
      </x:c>
      <x:c r="D49" s="79" t="str">
        <x:v>Missing: planktonic streamwater; stream sediment</x:v>
      </x:c>
      <x:c r="E49" s="79" t="str">
        <x:v>Treat the design as unbalanced; do not synthesize missing libraries.</x:v>
      </x:c>
    </x:row>
    <x:row r="50" ht="36" customHeight="1">
      <x:c r="A50" s="14" t="str">
        <x:v>INCOMPLETE_AQUATIC_TRIPLET</x:v>
      </x:c>
      <x:c r="B50" s="14" t="str"/>
      <x:c r="C50" s="14" t="str">
        <x:v>WS1-8</x:v>
      </x:c>
      <x:c r="D50" s="79" t="str">
        <x:v>Missing: planktonic streamwater; hyporheic water</x:v>
      </x:c>
      <x:c r="E50" s="79" t="str">
        <x:v>Treat the design as unbalanced; do not synthesize missing libraries.</x:v>
      </x:c>
    </x:row>
    <x:row r="51" ht="36" customHeight="1">
      <x:c r="A51" s="14" t="str">
        <x:v>INCOMPLETE_AQUATIC_TRIPLET</x:v>
      </x:c>
      <x:c r="B51" s="14" t="str"/>
      <x:c r="C51" s="14" t="str">
        <x:v>WS3-2</x:v>
      </x:c>
      <x:c r="D51" s="79" t="str">
        <x:v>Missing: planktonic streamwater; hyporheic water</x:v>
      </x:c>
      <x:c r="E51" s="79" t="str">
        <x:v>Treat the design as unbalanced; do not synthesize missing libraries.</x:v>
      </x:c>
    </x:row>
    <x:row r="52" ht="36" customHeight="1">
      <x:c r="A52" s="14" t="str">
        <x:v>INCOMPLETE_AQUATIC_TRIPLET</x:v>
      </x:c>
      <x:c r="B52" s="14" t="str"/>
      <x:c r="C52" s="14" t="str">
        <x:v>WS3-3</x:v>
      </x:c>
      <x:c r="D52" s="79" t="str">
        <x:v>Missing: planktonic streamwater</x:v>
      </x:c>
      <x:c r="E52" s="79" t="str">
        <x:v>Treat the design as unbalanced; do not synthesize missing libraries.</x:v>
      </x:c>
    </x:row>
    <x:row r="53" ht="36" customHeight="1">
      <x:c r="A53" s="14" t="str">
        <x:v>INCOMPLETE_AQUATIC_TRIPLET</x:v>
      </x:c>
      <x:c r="B53" s="14" t="str"/>
      <x:c r="C53" s="14" t="str">
        <x:v>WS3-4</x:v>
      </x:c>
      <x:c r="D53" s="79" t="str">
        <x:v>Missing: hyporheic water</x:v>
      </x:c>
      <x:c r="E53" s="79" t="str">
        <x:v>Treat the design as unbalanced; do not synthesize missing libraries.</x:v>
      </x:c>
    </x:row>
    <x:row r="54" ht="36" customHeight="1">
      <x:c r="A54" s="14" t="str">
        <x:v>INCOMPLETE_AQUATIC_TRIPLET</x:v>
      </x:c>
      <x:c r="B54" s="14" t="str"/>
      <x:c r="C54" s="14" t="str">
        <x:v>WS3-5</x:v>
      </x:c>
      <x:c r="D54" s="79" t="str">
        <x:v>Missing: planktonic streamwater; hyporheic water</x:v>
      </x:c>
      <x:c r="E54" s="79" t="str">
        <x:v>Treat the design as unbalanced; do not synthesize missing libraries.</x:v>
      </x:c>
    </x:row>
    <x:row r="55" ht="36" customHeight="1">
      <x:c r="A55" s="15" t="str">
        <x:v>INCOMPLETE_AQUATIC_TRIPLET</x:v>
      </x:c>
      <x:c r="B55" s="15" t="str"/>
      <x:c r="C55" s="15" t="str">
        <x:v>WS3-6</x:v>
      </x:c>
      <x:c r="D55" s="80" t="str">
        <x:v>Missing: hyporheic water; stream sediment</x:v>
      </x:c>
      <x:c r="E55" s="80" t="str">
        <x:v>Treat the design as unbalanced; do not synthesize missing libraries.</x:v>
      </x:c>
    </x:row>
  </x:sheetData>
  <x:conditionalFormatting sqref="A2:A55">
    <x:cfRule type="containsText" dxfId="3" priority="1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269e2928b87d4d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74" hidden="0" customWidth="1"/>
  </x:cols>
  <x:sheetData>
    <x:row r="1">
      <x:c r="A1" s="3" t="str">
        <x:v>Sources and mapping decisions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8" t="str">
        <x:v>Item</x:v>
      </x:c>
      <x:c r="B4" s="8" t="str">
        <x:v>Use</x:v>
      </x:c>
      <x:c r="C4" s="8" t="str">
        <x:v>Source</x:v>
      </x:c>
    </x:row>
    <x:row r="5" ht="34" customHeight="1">
      <x:c r="A5" s="13" t="str">
        <x:v>Local sample list</x:v>
      </x:c>
      <x:c r="B5" s="78" t="str">
        <x:v>Maps hja2016 library IDs to site and sample type</x:v>
      </x:c>
      <x:c r="C5" s="78" t="str">
        <x:v>data/hja-synoptic_sequence-sample-list.csv</x:v>
      </x:c>
    </x:row>
    <x:row r="6" ht="34" customHeight="1">
      <x:c r="A6" s="14" t="str">
        <x:v>Aquatic master data</x:v>
      </x:c>
      <x:c r="B6" s="79" t="str">
        <x:v>Environmental metadata for Stream, Hyporheic, and Sediment records</x:v>
      </x:c>
      <x:c r="C6" s="79" t="str">
        <x:v>data/hja-env_data_clean.csv</x:v>
      </x:c>
    </x:row>
    <x:row r="7" ht="34" customHeight="1">
      <x:c r="A7" s="14" t="str">
        <x:v>Soil metadata</x:v>
      </x:c>
      <x:c r="B7" s="79" t="str">
        <x:v>Environmental metadata for terrestrial soil records</x:v>
      </x:c>
      <x:c r="C7" s="79" t="str">
        <x:v>data/hja-synoptic_env-data-soils.csv</x:v>
      </x:c>
    </x:row>
    <x:row r="8" ht="34" customHeight="1">
      <x:c r="A8" s="14" t="str">
        <x:v>hja2016_200</x:v>
      </x:c>
      <x:c r="B8" s="79" t="str">
        <x:v>Confirms soil metagenome; site remains unresolved</x:v>
      </x:c>
      <x:c r="C8" s="79" t="str">
        <x:v>https://www.ncbi.nlm.nih.gov/biosample/SAMN12129905</x:v>
      </x:c>
    </x:row>
    <x:row r="9" ht="34" customHeight="1">
      <x:c r="A9" s="14" t="str">
        <x:v>DADA2 multi-run workflow</x:v>
      </x:c>
      <x:c r="B9" s="79" t="str">
        <x:v>Separate run error models, then merge exact sequence tables</x:v>
      </x:c>
      <x:c r="C9" s="79" t="str">
        <x:v>https://benjjneb.github.io/dada2/bigdata.html</x:v>
      </x:c>
    </x:row>
    <x:row r="10" ht="34" customHeight="1">
      <x:c r="A10" s="15" t="str">
        <x:v>DADA2 taxonomy data</x:v>
      </x:c>
      <x:c r="B10" s="80" t="str">
        <x:v>SILVA 138.2-formatted training files</x:v>
      </x:c>
      <x:c r="C10" s="80" t="str">
        <x:v>https://benjjneb.github.io/dada2/training.html</x:v>
      </x:c>
    </x:row>
  </x:sheetData>
  <x:mergeCells>
    <x:mergeCell ref="A1:D2"/>
  </x:mergeCells>
  <x:pageMargins left="0.7" right="0.7" top="0.75" bottom="0.75" header="0.3" footer="0.3"/>
</x:worksheet>
</file>